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ijklopov/Documents/ITMO/2 курс/ОСи/3/"/>
    </mc:Choice>
  </mc:AlternateContent>
  <xr:revisionPtr revIDLastSave="0" documentId="13_ncr:1_{B3C6D753-518A-E54B-8352-61408F47F165}" xr6:coauthVersionLast="47" xr6:coauthVersionMax="47" xr10:uidLastSave="{00000000-0000-0000-0000-000000000000}"/>
  <bookViews>
    <workbookView xWindow="0" yWindow="780" windowWidth="17120" windowHeight="21460" activeTab="4" xr2:uid="{FC0BFEFD-EB26-6242-9199-F75B867AFB21}"/>
  </bookViews>
  <sheets>
    <sheet name="Main" sheetId="1" r:id="rId1"/>
    <sheet name="00_default" sheetId="9" r:id="rId2"/>
    <sheet name="01_nice" sheetId="10" r:id="rId3"/>
    <sheet name="02_cpu_affinity" sheetId="11" r:id="rId4"/>
    <sheet name="05_sched_policy" sheetId="12" r:id="rId5"/>
    <sheet name="06_sched_tuning" sheetId="1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C15" i="1"/>
  <c r="D15" i="1"/>
  <c r="E15" i="1"/>
  <c r="F15" i="1"/>
  <c r="G15" i="1"/>
  <c r="H15" i="1"/>
  <c r="B14" i="1"/>
  <c r="C14" i="1"/>
  <c r="D14" i="1"/>
  <c r="E14" i="1"/>
  <c r="F14" i="1"/>
  <c r="G14" i="1"/>
  <c r="H14" i="1"/>
  <c r="B13" i="1"/>
  <c r="C13" i="1"/>
  <c r="D13" i="1"/>
  <c r="E13" i="1"/>
  <c r="F13" i="1"/>
  <c r="G13" i="1"/>
  <c r="H13" i="1"/>
  <c r="B12" i="1"/>
  <c r="C12" i="1"/>
  <c r="D12" i="1"/>
  <c r="E12" i="1"/>
  <c r="F12" i="1"/>
  <c r="G12" i="1"/>
  <c r="H12" i="1"/>
  <c r="B11" i="1"/>
  <c r="C11" i="1"/>
  <c r="D11" i="1"/>
  <c r="E11" i="1"/>
  <c r="F11" i="1"/>
  <c r="G11" i="1"/>
  <c r="H11" i="1"/>
  <c r="B10" i="1"/>
  <c r="C10" i="1"/>
  <c r="D10" i="1"/>
  <c r="E10" i="1"/>
  <c r="F10" i="1"/>
  <c r="G10" i="1"/>
  <c r="H10" i="1"/>
  <c r="B9" i="1"/>
  <c r="C9" i="1"/>
  <c r="D9" i="1"/>
  <c r="E9" i="1"/>
  <c r="F9" i="1"/>
  <c r="G9" i="1"/>
  <c r="H9" i="1"/>
  <c r="B8" i="1"/>
  <c r="C8" i="1"/>
  <c r="D8" i="1"/>
  <c r="E8" i="1"/>
  <c r="F8" i="1"/>
  <c r="G8" i="1"/>
  <c r="H8" i="1"/>
  <c r="B7" i="1"/>
  <c r="C7" i="1"/>
  <c r="D7" i="1"/>
  <c r="E7" i="1"/>
  <c r="F7" i="1"/>
  <c r="G7" i="1"/>
  <c r="H7" i="1"/>
  <c r="B6" i="1"/>
  <c r="C6" i="1"/>
  <c r="D6" i="1"/>
  <c r="E6" i="1"/>
  <c r="F6" i="1"/>
  <c r="G6" i="1"/>
  <c r="H6" i="1"/>
  <c r="B3" i="1"/>
  <c r="C3" i="1"/>
  <c r="D3" i="1"/>
  <c r="E3" i="1"/>
  <c r="F3" i="1"/>
  <c r="G3" i="1"/>
  <c r="H3" i="1"/>
  <c r="B5" i="1"/>
  <c r="C5" i="1"/>
  <c r="D5" i="1"/>
  <c r="E5" i="1"/>
  <c r="F5" i="1"/>
  <c r="G5" i="1"/>
  <c r="H5" i="1"/>
  <c r="B4" i="1"/>
  <c r="C4" i="1"/>
  <c r="D4" i="1"/>
  <c r="E4" i="1"/>
  <c r="F4" i="1"/>
  <c r="G4" i="1"/>
  <c r="H4" i="1"/>
  <c r="C2" i="1"/>
  <c r="D2" i="1"/>
  <c r="E2" i="1"/>
  <c r="F2" i="1"/>
  <c r="G2" i="1"/>
  <c r="H2" i="1"/>
  <c r="C41" i="13"/>
  <c r="D41" i="13"/>
  <c r="E41" i="13"/>
  <c r="F41" i="13"/>
  <c r="G41" i="13"/>
  <c r="H41" i="13"/>
  <c r="J41" i="13"/>
  <c r="K41" i="13"/>
  <c r="L41" i="13"/>
  <c r="M41" i="13"/>
  <c r="N41" i="13"/>
  <c r="O41" i="13"/>
  <c r="P41" i="13"/>
  <c r="R41" i="13"/>
  <c r="S41" i="13"/>
  <c r="T41" i="13"/>
  <c r="U41" i="13"/>
  <c r="V41" i="13"/>
  <c r="W41" i="13"/>
  <c r="X41" i="13"/>
  <c r="Z41" i="13"/>
  <c r="AA41" i="13"/>
  <c r="AB41" i="13"/>
  <c r="AC41" i="13"/>
  <c r="AD41" i="13"/>
  <c r="AE41" i="13"/>
  <c r="AF41" i="13"/>
  <c r="AH41" i="13"/>
  <c r="AI41" i="13"/>
  <c r="AJ41" i="13"/>
  <c r="AK41" i="13"/>
  <c r="AL41" i="13"/>
  <c r="AM41" i="13"/>
  <c r="AN41" i="13"/>
  <c r="C42" i="13"/>
  <c r="D42" i="13"/>
  <c r="E42" i="13"/>
  <c r="F42" i="13"/>
  <c r="G42" i="13"/>
  <c r="H42" i="13"/>
  <c r="J42" i="13"/>
  <c r="K42" i="13"/>
  <c r="L42" i="13"/>
  <c r="M42" i="13"/>
  <c r="N42" i="13"/>
  <c r="O42" i="13"/>
  <c r="P42" i="13"/>
  <c r="R42" i="13"/>
  <c r="S42" i="13"/>
  <c r="T42" i="13"/>
  <c r="U42" i="13"/>
  <c r="V42" i="13"/>
  <c r="W42" i="13"/>
  <c r="X42" i="13"/>
  <c r="Z42" i="13"/>
  <c r="AA42" i="13"/>
  <c r="AB42" i="13"/>
  <c r="AC42" i="13"/>
  <c r="AD42" i="13"/>
  <c r="AE42" i="13"/>
  <c r="AF42" i="13"/>
  <c r="AH42" i="13"/>
  <c r="AI42" i="13"/>
  <c r="AJ42" i="13"/>
  <c r="AK42" i="13"/>
  <c r="AL42" i="13"/>
  <c r="AM42" i="13"/>
  <c r="AN42" i="13"/>
  <c r="C43" i="13"/>
  <c r="D43" i="13"/>
  <c r="E43" i="13"/>
  <c r="F43" i="13"/>
  <c r="G43" i="13"/>
  <c r="H43" i="13"/>
  <c r="J43" i="13"/>
  <c r="K43" i="13"/>
  <c r="L43" i="13"/>
  <c r="M43" i="13"/>
  <c r="N43" i="13"/>
  <c r="O43" i="13"/>
  <c r="P43" i="13"/>
  <c r="R43" i="13"/>
  <c r="S43" i="13"/>
  <c r="T43" i="13"/>
  <c r="U43" i="13"/>
  <c r="V43" i="13"/>
  <c r="W43" i="13"/>
  <c r="X43" i="13"/>
  <c r="Z43" i="13"/>
  <c r="AA43" i="13"/>
  <c r="AB43" i="13"/>
  <c r="AC43" i="13"/>
  <c r="AD43" i="13"/>
  <c r="AE43" i="13"/>
  <c r="AF43" i="13"/>
  <c r="AH43" i="13"/>
  <c r="AI43" i="13"/>
  <c r="AJ43" i="13"/>
  <c r="AK43" i="13"/>
  <c r="AL43" i="13"/>
  <c r="AM43" i="13"/>
  <c r="AN43" i="13"/>
  <c r="C44" i="13"/>
  <c r="D44" i="13"/>
  <c r="E44" i="13"/>
  <c r="F44" i="13"/>
  <c r="G44" i="13"/>
  <c r="H44" i="13"/>
  <c r="J44" i="13"/>
  <c r="K44" i="13"/>
  <c r="L44" i="13"/>
  <c r="M44" i="13"/>
  <c r="N44" i="13"/>
  <c r="O44" i="13"/>
  <c r="P44" i="13"/>
  <c r="R44" i="13"/>
  <c r="S44" i="13"/>
  <c r="T44" i="13"/>
  <c r="U44" i="13"/>
  <c r="V44" i="13"/>
  <c r="W44" i="13"/>
  <c r="X44" i="13"/>
  <c r="Z44" i="13"/>
  <c r="AA44" i="13"/>
  <c r="AB44" i="13"/>
  <c r="AC44" i="13"/>
  <c r="AD44" i="13"/>
  <c r="AE44" i="13"/>
  <c r="AF44" i="13"/>
  <c r="AH44" i="13"/>
  <c r="AI44" i="13"/>
  <c r="AJ44" i="13"/>
  <c r="AK44" i="13"/>
  <c r="AL44" i="13"/>
  <c r="AM44" i="13"/>
  <c r="AN44" i="13"/>
  <c r="C45" i="13"/>
  <c r="D45" i="13"/>
  <c r="E45" i="13"/>
  <c r="F45" i="13"/>
  <c r="G45" i="13"/>
  <c r="H45" i="13"/>
  <c r="J45" i="13"/>
  <c r="K45" i="13"/>
  <c r="L45" i="13"/>
  <c r="M45" i="13"/>
  <c r="N45" i="13"/>
  <c r="O45" i="13"/>
  <c r="P45" i="13"/>
  <c r="R45" i="13"/>
  <c r="S45" i="13"/>
  <c r="T45" i="13"/>
  <c r="U45" i="13"/>
  <c r="V45" i="13"/>
  <c r="W45" i="13"/>
  <c r="X45" i="13"/>
  <c r="Z45" i="13"/>
  <c r="AA45" i="13"/>
  <c r="AB45" i="13"/>
  <c r="AC45" i="13"/>
  <c r="AD45" i="13"/>
  <c r="AE45" i="13"/>
  <c r="AF45" i="13"/>
  <c r="AH45" i="13"/>
  <c r="AI45" i="13"/>
  <c r="AJ45" i="13"/>
  <c r="AK45" i="13"/>
  <c r="AL45" i="13"/>
  <c r="AM45" i="13"/>
  <c r="AN45" i="13"/>
  <c r="B43" i="13"/>
  <c r="B42" i="13"/>
  <c r="B44" i="13"/>
  <c r="B45" i="13"/>
  <c r="B41" i="13"/>
  <c r="C36" i="13"/>
  <c r="D36" i="13"/>
  <c r="E36" i="13"/>
  <c r="F36" i="13"/>
  <c r="G36" i="13"/>
  <c r="H36" i="13"/>
  <c r="J36" i="13"/>
  <c r="K36" i="13"/>
  <c r="L36" i="13"/>
  <c r="M36" i="13"/>
  <c r="N36" i="13"/>
  <c r="O36" i="13"/>
  <c r="P36" i="13"/>
  <c r="R36" i="13"/>
  <c r="S36" i="13"/>
  <c r="T36" i="13"/>
  <c r="U36" i="13"/>
  <c r="V36" i="13"/>
  <c r="W36" i="13"/>
  <c r="X36" i="13"/>
  <c r="Z36" i="13"/>
  <c r="AA36" i="13"/>
  <c r="AB36" i="13"/>
  <c r="AC36" i="13"/>
  <c r="AD36" i="13"/>
  <c r="AE36" i="13"/>
  <c r="AF36" i="13"/>
  <c r="AH36" i="13"/>
  <c r="AI36" i="13"/>
  <c r="AJ36" i="13"/>
  <c r="AK36" i="13"/>
  <c r="AL36" i="13"/>
  <c r="AM36" i="13"/>
  <c r="AN36" i="13"/>
  <c r="C37" i="13"/>
  <c r="D37" i="13"/>
  <c r="E37" i="13"/>
  <c r="F37" i="13"/>
  <c r="G37" i="13"/>
  <c r="H37" i="13"/>
  <c r="J37" i="13"/>
  <c r="K37" i="13"/>
  <c r="L37" i="13"/>
  <c r="M37" i="13"/>
  <c r="N37" i="13"/>
  <c r="O37" i="13"/>
  <c r="P37" i="13"/>
  <c r="R37" i="13"/>
  <c r="S37" i="13"/>
  <c r="T37" i="13"/>
  <c r="U37" i="13"/>
  <c r="V37" i="13"/>
  <c r="W37" i="13"/>
  <c r="X37" i="13"/>
  <c r="Z37" i="13"/>
  <c r="AA37" i="13"/>
  <c r="AB37" i="13"/>
  <c r="AC37" i="13"/>
  <c r="AD37" i="13"/>
  <c r="AE37" i="13"/>
  <c r="AF37" i="13"/>
  <c r="AH37" i="13"/>
  <c r="AI37" i="13"/>
  <c r="AJ37" i="13"/>
  <c r="AK37" i="13"/>
  <c r="AL37" i="13"/>
  <c r="AM37" i="13"/>
  <c r="AN37" i="13"/>
  <c r="B37" i="13"/>
  <c r="B36" i="13"/>
  <c r="C41" i="12"/>
  <c r="D41" i="12"/>
  <c r="E41" i="12"/>
  <c r="F41" i="12"/>
  <c r="G41" i="12"/>
  <c r="H41" i="12"/>
  <c r="J41" i="12"/>
  <c r="K41" i="12"/>
  <c r="L41" i="12"/>
  <c r="M41" i="12"/>
  <c r="N41" i="12"/>
  <c r="O41" i="12"/>
  <c r="P41" i="12"/>
  <c r="R41" i="12"/>
  <c r="S41" i="12"/>
  <c r="T41" i="12"/>
  <c r="U41" i="12"/>
  <c r="V41" i="12"/>
  <c r="W41" i="12"/>
  <c r="X41" i="12"/>
  <c r="Z41" i="12"/>
  <c r="AA41" i="12"/>
  <c r="AB41" i="12"/>
  <c r="AC41" i="12"/>
  <c r="AD41" i="12"/>
  <c r="AE41" i="12"/>
  <c r="AF41" i="12"/>
  <c r="AH41" i="12"/>
  <c r="AI41" i="12"/>
  <c r="AJ41" i="12"/>
  <c r="AK41" i="12"/>
  <c r="AL41" i="12"/>
  <c r="AM41" i="12"/>
  <c r="AN41" i="12"/>
  <c r="C42" i="12"/>
  <c r="D42" i="12"/>
  <c r="E42" i="12"/>
  <c r="F42" i="12"/>
  <c r="G42" i="12"/>
  <c r="H42" i="12"/>
  <c r="J42" i="12"/>
  <c r="K42" i="12"/>
  <c r="L42" i="12"/>
  <c r="M42" i="12"/>
  <c r="N42" i="12"/>
  <c r="O42" i="12"/>
  <c r="P42" i="12"/>
  <c r="R42" i="12"/>
  <c r="S42" i="12"/>
  <c r="T42" i="12"/>
  <c r="U42" i="12"/>
  <c r="V42" i="12"/>
  <c r="W42" i="12"/>
  <c r="X42" i="12"/>
  <c r="Z42" i="12"/>
  <c r="AA42" i="12"/>
  <c r="AB42" i="12"/>
  <c r="AC42" i="12"/>
  <c r="AD42" i="12"/>
  <c r="AE42" i="12"/>
  <c r="AF42" i="12"/>
  <c r="AH42" i="12"/>
  <c r="AI42" i="12"/>
  <c r="AJ42" i="12"/>
  <c r="AK42" i="12"/>
  <c r="AL42" i="12"/>
  <c r="AM42" i="12"/>
  <c r="AN42" i="12"/>
  <c r="C43" i="12"/>
  <c r="D43" i="12"/>
  <c r="E43" i="12"/>
  <c r="F43" i="12"/>
  <c r="G43" i="12"/>
  <c r="H43" i="12"/>
  <c r="J43" i="12"/>
  <c r="K43" i="12"/>
  <c r="L43" i="12"/>
  <c r="M43" i="12"/>
  <c r="N43" i="12"/>
  <c r="O43" i="12"/>
  <c r="P43" i="12"/>
  <c r="R43" i="12"/>
  <c r="S43" i="12"/>
  <c r="T43" i="12"/>
  <c r="U43" i="12"/>
  <c r="V43" i="12"/>
  <c r="W43" i="12"/>
  <c r="X43" i="12"/>
  <c r="Z43" i="12"/>
  <c r="AA43" i="12"/>
  <c r="AB43" i="12"/>
  <c r="AC43" i="12"/>
  <c r="AD43" i="12"/>
  <c r="AE43" i="12"/>
  <c r="AF43" i="12"/>
  <c r="AH43" i="12"/>
  <c r="AI43" i="12"/>
  <c r="AJ43" i="12"/>
  <c r="AK43" i="12"/>
  <c r="AL43" i="12"/>
  <c r="AM43" i="12"/>
  <c r="AN43" i="12"/>
  <c r="C44" i="12"/>
  <c r="D44" i="12"/>
  <c r="E44" i="12"/>
  <c r="F44" i="12"/>
  <c r="G44" i="12"/>
  <c r="H44" i="12"/>
  <c r="J44" i="12"/>
  <c r="K44" i="12"/>
  <c r="L44" i="12"/>
  <c r="M44" i="12"/>
  <c r="N44" i="12"/>
  <c r="O44" i="12"/>
  <c r="P44" i="12"/>
  <c r="R44" i="12"/>
  <c r="S44" i="12"/>
  <c r="T44" i="12"/>
  <c r="U44" i="12"/>
  <c r="V44" i="12"/>
  <c r="W44" i="12"/>
  <c r="X44" i="12"/>
  <c r="Z44" i="12"/>
  <c r="AA44" i="12"/>
  <c r="AB44" i="12"/>
  <c r="AC44" i="12"/>
  <c r="AD44" i="12"/>
  <c r="AE44" i="12"/>
  <c r="AF44" i="12"/>
  <c r="AH44" i="12"/>
  <c r="AI44" i="12"/>
  <c r="AJ44" i="12"/>
  <c r="AK44" i="12"/>
  <c r="AL44" i="12"/>
  <c r="AM44" i="12"/>
  <c r="AN44" i="12"/>
  <c r="C45" i="12"/>
  <c r="D45" i="12"/>
  <c r="E45" i="12"/>
  <c r="F45" i="12"/>
  <c r="G45" i="12"/>
  <c r="H45" i="12"/>
  <c r="J45" i="12"/>
  <c r="K45" i="12"/>
  <c r="L45" i="12"/>
  <c r="M45" i="12"/>
  <c r="N45" i="12"/>
  <c r="O45" i="12"/>
  <c r="P45" i="12"/>
  <c r="R45" i="12"/>
  <c r="S45" i="12"/>
  <c r="T45" i="12"/>
  <c r="U45" i="12"/>
  <c r="V45" i="12"/>
  <c r="W45" i="12"/>
  <c r="X45" i="12"/>
  <c r="Z45" i="12"/>
  <c r="AA45" i="12"/>
  <c r="AB45" i="12"/>
  <c r="AC45" i="12"/>
  <c r="AD45" i="12"/>
  <c r="AE45" i="12"/>
  <c r="AF45" i="12"/>
  <c r="AH45" i="12"/>
  <c r="AI45" i="12"/>
  <c r="AJ45" i="12"/>
  <c r="AK45" i="12"/>
  <c r="AL45" i="12"/>
  <c r="AM45" i="12"/>
  <c r="AN45" i="12"/>
  <c r="B42" i="12"/>
  <c r="B43" i="12"/>
  <c r="B44" i="12"/>
  <c r="B45" i="12"/>
  <c r="B41" i="12"/>
  <c r="G37" i="12"/>
  <c r="C36" i="12"/>
  <c r="D36" i="12"/>
  <c r="E36" i="12"/>
  <c r="F36" i="12"/>
  <c r="G36" i="12"/>
  <c r="H36" i="12"/>
  <c r="J36" i="12"/>
  <c r="K36" i="12"/>
  <c r="L36" i="12"/>
  <c r="M36" i="12"/>
  <c r="N36" i="12"/>
  <c r="O36" i="12"/>
  <c r="P36" i="12"/>
  <c r="R36" i="12"/>
  <c r="S36" i="12"/>
  <c r="T36" i="12"/>
  <c r="U36" i="12"/>
  <c r="V36" i="12"/>
  <c r="W36" i="12"/>
  <c r="X36" i="12"/>
  <c r="Z36" i="12"/>
  <c r="AA36" i="12"/>
  <c r="AB36" i="12"/>
  <c r="AC36" i="12"/>
  <c r="AD36" i="12"/>
  <c r="AE36" i="12"/>
  <c r="AF36" i="12"/>
  <c r="AH36" i="12"/>
  <c r="AI36" i="12"/>
  <c r="AJ36" i="12"/>
  <c r="AK36" i="12"/>
  <c r="AL36" i="12"/>
  <c r="AM36" i="12"/>
  <c r="AN36" i="12"/>
  <c r="C37" i="12"/>
  <c r="D37" i="12"/>
  <c r="E37" i="12"/>
  <c r="F37" i="12"/>
  <c r="H37" i="12"/>
  <c r="J37" i="12"/>
  <c r="K37" i="12"/>
  <c r="L37" i="12"/>
  <c r="M37" i="12"/>
  <c r="N37" i="12"/>
  <c r="O37" i="12"/>
  <c r="P37" i="12"/>
  <c r="R37" i="12"/>
  <c r="S37" i="12"/>
  <c r="T37" i="12"/>
  <c r="U37" i="12"/>
  <c r="V37" i="12"/>
  <c r="W37" i="12"/>
  <c r="X37" i="12"/>
  <c r="Z37" i="12"/>
  <c r="AA37" i="12"/>
  <c r="AB37" i="12"/>
  <c r="AC37" i="12"/>
  <c r="AD37" i="12"/>
  <c r="AE37" i="12"/>
  <c r="AF37" i="12"/>
  <c r="AH37" i="12"/>
  <c r="AI37" i="12"/>
  <c r="AJ37" i="12"/>
  <c r="AK37" i="12"/>
  <c r="AL37" i="12"/>
  <c r="AM37" i="12"/>
  <c r="AN37" i="12"/>
  <c r="B37" i="12"/>
  <c r="B36" i="12"/>
  <c r="K42" i="11"/>
  <c r="K44" i="11"/>
  <c r="K36" i="11"/>
  <c r="D44" i="11"/>
  <c r="D40" i="11"/>
  <c r="E40" i="11"/>
  <c r="F40" i="11"/>
  <c r="G40" i="11"/>
  <c r="H40" i="11"/>
  <c r="J40" i="11"/>
  <c r="L40" i="11"/>
  <c r="M40" i="11"/>
  <c r="N40" i="11"/>
  <c r="O40" i="11"/>
  <c r="P40" i="11"/>
  <c r="R40" i="11"/>
  <c r="S40" i="11"/>
  <c r="T40" i="11"/>
  <c r="U40" i="11"/>
  <c r="V40" i="11"/>
  <c r="W40" i="11"/>
  <c r="X40" i="11"/>
  <c r="D41" i="11"/>
  <c r="E41" i="11"/>
  <c r="F41" i="11"/>
  <c r="G41" i="11"/>
  <c r="H41" i="11"/>
  <c r="J41" i="11"/>
  <c r="K41" i="11"/>
  <c r="L41" i="11"/>
  <c r="M41" i="11"/>
  <c r="N41" i="11"/>
  <c r="O41" i="11"/>
  <c r="P41" i="11"/>
  <c r="R41" i="11"/>
  <c r="S41" i="11"/>
  <c r="T41" i="11"/>
  <c r="U41" i="11"/>
  <c r="V41" i="11"/>
  <c r="W41" i="11"/>
  <c r="X41" i="11"/>
  <c r="D42" i="11"/>
  <c r="E42" i="11"/>
  <c r="F42" i="11"/>
  <c r="G42" i="11"/>
  <c r="H42" i="11"/>
  <c r="J42" i="11"/>
  <c r="L42" i="11"/>
  <c r="M42" i="11"/>
  <c r="N42" i="11"/>
  <c r="O42" i="11"/>
  <c r="P42" i="11"/>
  <c r="R42" i="11"/>
  <c r="S42" i="11"/>
  <c r="T42" i="11"/>
  <c r="U42" i="11"/>
  <c r="V42" i="11"/>
  <c r="W42" i="11"/>
  <c r="X42" i="11"/>
  <c r="D43" i="11"/>
  <c r="E43" i="11"/>
  <c r="F43" i="11"/>
  <c r="G43" i="11"/>
  <c r="H43" i="11"/>
  <c r="J43" i="11"/>
  <c r="K43" i="11"/>
  <c r="L43" i="11"/>
  <c r="M43" i="11"/>
  <c r="N43" i="11"/>
  <c r="O43" i="11"/>
  <c r="P43" i="11"/>
  <c r="R43" i="11"/>
  <c r="S43" i="11"/>
  <c r="T43" i="11"/>
  <c r="U43" i="11"/>
  <c r="V43" i="11"/>
  <c r="W43" i="11"/>
  <c r="X43" i="11"/>
  <c r="E44" i="11"/>
  <c r="F44" i="11"/>
  <c r="G44" i="11"/>
  <c r="H44" i="11"/>
  <c r="J44" i="11"/>
  <c r="L44" i="11"/>
  <c r="M44" i="11"/>
  <c r="N44" i="11"/>
  <c r="O44" i="11"/>
  <c r="P44" i="11"/>
  <c r="R44" i="11"/>
  <c r="S44" i="11"/>
  <c r="T44" i="11"/>
  <c r="U44" i="11"/>
  <c r="V44" i="11"/>
  <c r="W44" i="11"/>
  <c r="X44" i="11"/>
  <c r="C41" i="11"/>
  <c r="C42" i="11"/>
  <c r="C43" i="11"/>
  <c r="C44" i="11"/>
  <c r="C40" i="11"/>
  <c r="C36" i="11"/>
  <c r="D36" i="11"/>
  <c r="E36" i="11"/>
  <c r="F36" i="11"/>
  <c r="G36" i="11"/>
  <c r="H36" i="11"/>
  <c r="J36" i="11"/>
  <c r="L36" i="11"/>
  <c r="M36" i="11"/>
  <c r="N36" i="11"/>
  <c r="O36" i="11"/>
  <c r="P36" i="11"/>
  <c r="R36" i="11"/>
  <c r="S36" i="11"/>
  <c r="T36" i="11"/>
  <c r="U36" i="11"/>
  <c r="V36" i="11"/>
  <c r="W36" i="11"/>
  <c r="X36" i="11"/>
  <c r="B36" i="11"/>
  <c r="C35" i="11"/>
  <c r="D35" i="11"/>
  <c r="E35" i="11"/>
  <c r="F35" i="11"/>
  <c r="G35" i="11"/>
  <c r="H35" i="11"/>
  <c r="J35" i="11"/>
  <c r="K35" i="11"/>
  <c r="L35" i="11"/>
  <c r="M35" i="11"/>
  <c r="N35" i="11"/>
  <c r="O35" i="11"/>
  <c r="P35" i="11"/>
  <c r="R35" i="11"/>
  <c r="S35" i="11"/>
  <c r="T35" i="11"/>
  <c r="U35" i="11"/>
  <c r="V35" i="11"/>
  <c r="W35" i="11"/>
  <c r="X35" i="11"/>
  <c r="B35" i="11"/>
  <c r="B44" i="9"/>
  <c r="B43" i="9"/>
  <c r="E41" i="9"/>
  <c r="D41" i="9"/>
  <c r="C41" i="9"/>
  <c r="B41" i="9"/>
  <c r="F41" i="9"/>
  <c r="G41" i="9"/>
  <c r="B42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0" i="9"/>
  <c r="D40" i="9"/>
  <c r="E40" i="9"/>
  <c r="F40" i="9"/>
  <c r="G40" i="9"/>
  <c r="B40" i="9"/>
  <c r="C36" i="9"/>
  <c r="D36" i="9"/>
  <c r="E36" i="9"/>
  <c r="F36" i="9"/>
  <c r="G36" i="9"/>
  <c r="B36" i="9"/>
  <c r="Q35" i="10"/>
  <c r="Q41" i="10" s="1"/>
  <c r="P35" i="10"/>
  <c r="P40" i="10" s="1"/>
  <c r="O35" i="10"/>
  <c r="O42" i="10" s="1"/>
  <c r="N35" i="10"/>
  <c r="N38" i="10" s="1"/>
  <c r="M35" i="10"/>
  <c r="M40" i="10" s="1"/>
  <c r="L35" i="10"/>
  <c r="L41" i="10" s="1"/>
  <c r="H35" i="10"/>
  <c r="H42" i="10" s="1"/>
  <c r="G35" i="10"/>
  <c r="G41" i="10" s="1"/>
  <c r="F35" i="10"/>
  <c r="F38" i="10" s="1"/>
  <c r="E35" i="10"/>
  <c r="E39" i="10" s="1"/>
  <c r="D35" i="10"/>
  <c r="D38" i="10" s="1"/>
  <c r="C35" i="10"/>
  <c r="C40" i="10" s="1"/>
  <c r="C35" i="9"/>
  <c r="D35" i="9"/>
  <c r="E35" i="9"/>
  <c r="F35" i="9"/>
  <c r="G35" i="9"/>
  <c r="B35" i="9"/>
  <c r="L38" i="10"/>
  <c r="K38" i="10"/>
  <c r="K39" i="10"/>
  <c r="K40" i="10"/>
  <c r="K41" i="10"/>
  <c r="K42" i="10"/>
  <c r="L42" i="10"/>
  <c r="F39" i="10"/>
  <c r="F40" i="10"/>
  <c r="F41" i="10"/>
  <c r="H41" i="10"/>
  <c r="F42" i="10"/>
  <c r="C39" i="10"/>
  <c r="K35" i="10"/>
  <c r="B35" i="10"/>
  <c r="M34" i="10"/>
  <c r="N34" i="10"/>
  <c r="O34" i="10"/>
  <c r="H34" i="10"/>
  <c r="F34" i="10"/>
  <c r="E34" i="10"/>
  <c r="D34" i="10"/>
  <c r="C34" i="10"/>
  <c r="G34" i="10"/>
  <c r="K34" i="10"/>
  <c r="L34" i="10"/>
  <c r="P34" i="10"/>
  <c r="Q34" i="10"/>
  <c r="B34" i="10"/>
  <c r="K40" i="11" l="1"/>
  <c r="Q40" i="10"/>
  <c r="Q39" i="10"/>
  <c r="Q42" i="10"/>
  <c r="Q38" i="10"/>
  <c r="P39" i="10"/>
  <c r="P38" i="10"/>
  <c r="P42" i="10"/>
  <c r="P41" i="10"/>
  <c r="O40" i="10"/>
  <c r="O39" i="10"/>
  <c r="O41" i="10"/>
  <c r="O38" i="10"/>
  <c r="N39" i="10"/>
  <c r="N40" i="10"/>
  <c r="N41" i="10"/>
  <c r="N42" i="10"/>
  <c r="M39" i="10"/>
  <c r="M38" i="10"/>
  <c r="M41" i="10"/>
  <c r="M42" i="10"/>
  <c r="L40" i="10"/>
  <c r="L39" i="10"/>
  <c r="H38" i="10"/>
  <c r="H39" i="10"/>
  <c r="H40" i="10"/>
  <c r="G42" i="10"/>
  <c r="G38" i="10"/>
  <c r="G40" i="10"/>
  <c r="G39" i="10"/>
  <c r="E40" i="10"/>
  <c r="E42" i="10"/>
  <c r="E38" i="10"/>
  <c r="E41" i="10"/>
  <c r="D39" i="10"/>
  <c r="D41" i="10"/>
  <c r="D42" i="10"/>
  <c r="D40" i="10"/>
  <c r="C42" i="10"/>
  <c r="C41" i="10"/>
  <c r="C38" i="10"/>
</calcChain>
</file>

<file path=xl/sharedStrings.xml><?xml version="1.0" encoding="utf-8"?>
<sst xmlns="http://schemas.openxmlformats.org/spreadsheetml/2006/main" count="644" uniqueCount="79">
  <si>
    <t>30s</t>
  </si>
  <si>
    <t>KFLOPS</t>
  </si>
  <si>
    <t>OVERHEAD</t>
  </si>
  <si>
    <t>DGESL</t>
  </si>
  <si>
    <t>DGEFA</t>
  </si>
  <si>
    <t>Time(s)</t>
  </si>
  <si>
    <t>Reps</t>
  </si>
  <si>
    <t>31s</t>
  </si>
  <si>
    <t>29s</t>
  </si>
  <si>
    <t>27s</t>
  </si>
  <si>
    <t>-20:</t>
  </si>
  <si>
    <t>priority</t>
  </si>
  <si>
    <t>2074s</t>
  </si>
  <si>
    <t>26s</t>
  </si>
  <si>
    <t>2140s</t>
  </si>
  <si>
    <t>2564s</t>
  </si>
  <si>
    <t>23s</t>
  </si>
  <si>
    <t>4169s</t>
  </si>
  <si>
    <t>1803s</t>
  </si>
  <si>
    <t>41s</t>
  </si>
  <si>
    <t>39s</t>
  </si>
  <si>
    <t>40s</t>
  </si>
  <si>
    <t>50s</t>
  </si>
  <si>
    <t>32s</t>
  </si>
  <si>
    <t>36s</t>
  </si>
  <si>
    <t>21s</t>
  </si>
  <si>
    <t>55s</t>
  </si>
  <si>
    <t>601s</t>
  </si>
  <si>
    <t>SCHED_IDLE</t>
  </si>
  <si>
    <t>28s</t>
  </si>
  <si>
    <t>SCHED_BATCH</t>
  </si>
  <si>
    <t>SCHED_RR</t>
  </si>
  <si>
    <t>22s</t>
  </si>
  <si>
    <t>SCHED_FIFO</t>
  </si>
  <si>
    <t>38s</t>
  </si>
  <si>
    <t>600s</t>
  </si>
  <si>
    <t>35s</t>
  </si>
  <si>
    <t>65s</t>
  </si>
  <si>
    <t>default</t>
  </si>
  <si>
    <t>25s</t>
  </si>
  <si>
    <t>37s</t>
  </si>
  <si>
    <t>33s</t>
  </si>
  <si>
    <t>Overall Time</t>
  </si>
  <si>
    <t>19</t>
  </si>
  <si>
    <t>-20</t>
  </si>
  <si>
    <t>Таблица сырых данных с логов</t>
  </si>
  <si>
    <t>Таблица финальных значений тестов производительности Linpack</t>
  </si>
  <si>
    <t>СРЗНАЧ:</t>
  </si>
  <si>
    <t>Overall Time (s)</t>
  </si>
  <si>
    <t>СТДОТКЛОН:</t>
  </si>
  <si>
    <t>Чистая выборка значений</t>
  </si>
  <si>
    <t>Affinity</t>
  </si>
  <si>
    <t>No</t>
  </si>
  <si>
    <t>linpack only</t>
  </si>
  <si>
    <t>linpack + isolated core</t>
  </si>
  <si>
    <t>SHCED</t>
  </si>
  <si>
    <t>OTHER</t>
  </si>
  <si>
    <t>FIFO</t>
  </si>
  <si>
    <t>RR</t>
  </si>
  <si>
    <t>BATCH</t>
  </si>
  <si>
    <t>IDLE</t>
  </si>
  <si>
    <t>-</t>
  </si>
  <si>
    <t>Mode</t>
  </si>
  <si>
    <t>slice_LOW</t>
  </si>
  <si>
    <t>slice_HIGH</t>
  </si>
  <si>
    <t>cost_LOW</t>
  </si>
  <si>
    <t>cost_HIGH</t>
  </si>
  <si>
    <t>Feature</t>
  </si>
  <si>
    <t>nice (19)</t>
  </si>
  <si>
    <t>nice (-20)</t>
  </si>
  <si>
    <t>linpack affinity</t>
  </si>
  <si>
    <t>linpack affinity + isolating core</t>
  </si>
  <si>
    <t>default (w stress)</t>
  </si>
  <si>
    <t>default (w/o stress)</t>
  </si>
  <si>
    <t>Общая таблица</t>
  </si>
  <si>
    <t>Nice таблица</t>
  </si>
  <si>
    <t>Affinity тфблица</t>
  </si>
  <si>
    <t>SCHED таблица</t>
  </si>
  <si>
    <t>Tuning таблица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</si>
</sst>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/>
    <xf numFmtId="10" fontId="0" fillId="0" borderId="0" xfId="0" applyNumberFormat="1"/>
    <xf numFmtId="49" fontId="0" fillId="2" borderId="1" xfId="0" applyNumberFormat="1" applyFill="1" applyBorder="1"/>
    <xf numFmtId="0" fontId="0" fillId="2" borderId="2" xfId="0" applyFill="1" applyBorder="1"/>
    <xf numFmtId="49" fontId="0" fillId="2" borderId="2" xfId="0" applyNumberFormat="1" applyFill="1" applyBorder="1"/>
    <xf numFmtId="0" fontId="0" fillId="2" borderId="3" xfId="0" applyFill="1" applyBorder="1"/>
    <xf numFmtId="49" fontId="0" fillId="0" borderId="4" xfId="0" applyNumberForma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10" fontId="0" fillId="0" borderId="7" xfId="0" applyNumberFormat="1" applyBorder="1"/>
    <xf numFmtId="0" fontId="0" fillId="0" borderId="8" xfId="0" applyBorder="1"/>
    <xf numFmtId="49" fontId="0" fillId="0" borderId="6" xfId="0" applyNumberFormat="1" applyBorder="1"/>
    <xf numFmtId="49" fontId="0" fillId="0" borderId="7" xfId="0" applyNumberFormat="1" applyBorder="1"/>
    <xf numFmtId="49" fontId="0" fillId="3" borderId="4" xfId="0" applyNumberFormat="1" applyFill="1" applyBorder="1"/>
    <xf numFmtId="0" fontId="0" fillId="3" borderId="0" xfId="0" applyFill="1"/>
    <xf numFmtId="10" fontId="0" fillId="3" borderId="0" xfId="0" applyNumberFormat="1" applyFill="1"/>
    <xf numFmtId="10" fontId="0" fillId="2" borderId="2" xfId="0" applyNumberFormat="1" applyFill="1" applyBorder="1"/>
    <xf numFmtId="49" fontId="0" fillId="4" borderId="0" xfId="0" applyNumberFormat="1" applyFill="1"/>
    <xf numFmtId="0" fontId="0" fillId="4" borderId="0" xfId="0" applyFill="1"/>
    <xf numFmtId="10" fontId="0" fillId="4" borderId="0" xfId="0" applyNumberFormat="1" applyFill="1"/>
    <xf numFmtId="0" fontId="0" fillId="2" borderId="1" xfId="0" applyFill="1" applyBorder="1"/>
    <xf numFmtId="0" fontId="1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49" fontId="1" fillId="2" borderId="1" xfId="0" applyNumberFormat="1" applyFont="1" applyFill="1" applyBorder="1"/>
    <xf numFmtId="0" fontId="0" fillId="0" borderId="9" xfId="0" applyBorder="1"/>
    <xf numFmtId="0" fontId="0" fillId="0" borderId="10" xfId="0" applyBorder="1"/>
    <xf numFmtId="10" fontId="0" fillId="0" borderId="10" xfId="0" applyNumberFormat="1" applyBorder="1"/>
    <xf numFmtId="0" fontId="0" fillId="0" borderId="11" xfId="0" applyBorder="1"/>
    <xf numFmtId="49" fontId="0" fillId="0" borderId="9" xfId="0" applyNumberFormat="1" applyBorder="1"/>
    <xf numFmtId="10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%20____/___/3/Log_Data.xlsx" TargetMode="External"/><Relationship Id="rId2" Type="http://schemas.openxmlformats.org/officeDocument/2006/relationships/externalLinkPath" Target="/Users/grigorijklopov/Documents/ITMO/2%20____/___/3/Log_Data.xlsx" TargetMode="External"/><Relationship Id="rId1" Type="http://schemas.openxmlformats.org/officeDocument/2006/relationships/externalLinkPath" Target="/Users/grigorijklopov/Documents/ITMO/2%20____/___/3/Log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00_default"/>
      <sheetName val="01_nice"/>
      <sheetName val="02_cpu_affinity"/>
      <sheetName val="05_sched_policy"/>
      <sheetName val="06_sched_tuning"/>
    </sheetNames>
    <sheetDataSet>
      <sheetData sheetId="0"/>
      <sheetData sheetId="1">
        <row r="35">
          <cell r="B35">
            <v>14.995999999999999</v>
          </cell>
          <cell r="C35">
            <v>0.87036000000000002</v>
          </cell>
          <cell r="D35">
            <v>9.2999999999999992E-3</v>
          </cell>
          <cell r="E35">
            <v>0.12035999999999999</v>
          </cell>
          <cell r="F35">
            <v>11291033.922199998</v>
          </cell>
          <cell r="G35">
            <v>30</v>
          </cell>
        </row>
      </sheetData>
      <sheetData sheetId="2">
        <row r="34">
          <cell r="B34">
            <v>2048</v>
          </cell>
          <cell r="C34">
            <v>12.620000000000001</v>
          </cell>
          <cell r="D34">
            <v>0.86102000000000012</v>
          </cell>
          <cell r="E34">
            <v>3.7059999999999996E-2</v>
          </cell>
          <cell r="F34">
            <v>0.10194</v>
          </cell>
          <cell r="G34">
            <v>6570248.0447999993</v>
          </cell>
          <cell r="H34">
            <v>2550</v>
          </cell>
          <cell r="K34">
            <v>2048</v>
          </cell>
          <cell r="L34">
            <v>12.872</v>
          </cell>
          <cell r="M34">
            <v>0.88375999999999999</v>
          </cell>
          <cell r="N34">
            <v>1.064E-2</v>
          </cell>
          <cell r="O34">
            <v>0.10557999999999998</v>
          </cell>
          <cell r="P34">
            <v>6496561.4409999996</v>
          </cell>
          <cell r="Q34">
            <v>25.8</v>
          </cell>
        </row>
      </sheetData>
      <sheetData sheetId="3">
        <row r="35">
          <cell r="J35">
            <v>2048</v>
          </cell>
          <cell r="K35">
            <v>11.146000000000001</v>
          </cell>
          <cell r="L35">
            <v>0.88282000000000005</v>
          </cell>
          <cell r="M35">
            <v>1.196E-2</v>
          </cell>
          <cell r="N35">
            <v>0.10522000000000001</v>
          </cell>
          <cell r="O35">
            <v>7471709.0655999985</v>
          </cell>
          <cell r="P35">
            <v>38.6</v>
          </cell>
          <cell r="R35">
            <v>2048</v>
          </cell>
          <cell r="S35">
            <v>11.342000000000002</v>
          </cell>
          <cell r="T35">
            <v>0.88387999999999989</v>
          </cell>
          <cell r="U35">
            <v>1.064E-2</v>
          </cell>
          <cell r="V35">
            <v>0.10546</v>
          </cell>
          <cell r="W35">
            <v>7343273.9716000007</v>
          </cell>
          <cell r="X35">
            <v>22.6</v>
          </cell>
        </row>
      </sheetData>
      <sheetData sheetId="4">
        <row r="36">
          <cell r="B36">
            <v>2457.6</v>
          </cell>
          <cell r="C36">
            <v>13.201999999999998</v>
          </cell>
          <cell r="D36">
            <v>0.88195999999999997</v>
          </cell>
          <cell r="E36">
            <v>1.336E-2</v>
          </cell>
          <cell r="F36">
            <v>0.10466</v>
          </cell>
          <cell r="G36">
            <v>7532683.3296000008</v>
          </cell>
          <cell r="H36">
            <v>39.200000000000003</v>
          </cell>
          <cell r="J36">
            <v>2457.6</v>
          </cell>
          <cell r="K36">
            <v>12.790000000000003</v>
          </cell>
          <cell r="L36">
            <v>0.88253999999999999</v>
          </cell>
          <cell r="M36">
            <v>1.1519999999999999E-2</v>
          </cell>
          <cell r="N36">
            <v>0.10593999999999999</v>
          </cell>
          <cell r="O36">
            <v>7774618.3651999999</v>
          </cell>
          <cell r="P36">
            <v>25</v>
          </cell>
          <cell r="R36">
            <v>2048</v>
          </cell>
          <cell r="S36">
            <v>10.786</v>
          </cell>
          <cell r="T36">
            <v>0.88292000000000004</v>
          </cell>
          <cell r="U36">
            <v>1.1959999999999998E-2</v>
          </cell>
          <cell r="V36">
            <v>0.10511999999999999</v>
          </cell>
          <cell r="W36">
            <v>7716932.2826000005</v>
          </cell>
          <cell r="X36">
            <v>21.2</v>
          </cell>
          <cell r="Z36">
            <v>2048</v>
          </cell>
          <cell r="AA36">
            <v>10.84</v>
          </cell>
          <cell r="AB36">
            <v>0.88044000000000011</v>
          </cell>
          <cell r="AC36">
            <v>1.3980000000000001E-2</v>
          </cell>
          <cell r="AD36">
            <v>0.10556000000000001</v>
          </cell>
          <cell r="AE36">
            <v>7681887.4400000004</v>
          </cell>
          <cell r="AF36">
            <v>36.4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600.20000000000005</v>
          </cell>
        </row>
      </sheetData>
      <sheetData sheetId="5">
        <row r="36">
          <cell r="J36">
            <v>2048</v>
          </cell>
          <cell r="K36">
            <v>10.45</v>
          </cell>
          <cell r="L36">
            <v>0.88195999999999997</v>
          </cell>
          <cell r="M36">
            <v>1.2500000000000001E-2</v>
          </cell>
          <cell r="N36">
            <v>0.10553999999999999</v>
          </cell>
          <cell r="O36">
            <v>7968914.5209999997</v>
          </cell>
          <cell r="P36">
            <v>30.4</v>
          </cell>
          <cell r="R36">
            <v>2048</v>
          </cell>
          <cell r="S36">
            <v>10.5</v>
          </cell>
          <cell r="T36">
            <v>0.88257999999999992</v>
          </cell>
          <cell r="U36">
            <v>1.162E-2</v>
          </cell>
          <cell r="V36">
            <v>0.10580000000000001</v>
          </cell>
          <cell r="W36">
            <v>7933110.0388000011</v>
          </cell>
          <cell r="X36">
            <v>31</v>
          </cell>
          <cell r="Z36">
            <v>2048</v>
          </cell>
          <cell r="AA36">
            <v>10.526</v>
          </cell>
          <cell r="AB36">
            <v>0.88238000000000005</v>
          </cell>
          <cell r="AC36">
            <v>1.2359999999999999E-2</v>
          </cell>
          <cell r="AD36">
            <v>0.10525999999999999</v>
          </cell>
          <cell r="AE36">
            <v>7908366.4189999998</v>
          </cell>
          <cell r="AF36">
            <v>31.6</v>
          </cell>
          <cell r="AH36">
            <v>2048</v>
          </cell>
          <cell r="AI36">
            <v>10.602</v>
          </cell>
          <cell r="AJ36">
            <v>0.88169999999999982</v>
          </cell>
          <cell r="AK36">
            <v>1.298E-2</v>
          </cell>
          <cell r="AL36">
            <v>0.10536000000000001</v>
          </cell>
          <cell r="AM36">
            <v>7850424.2266000006</v>
          </cell>
          <cell r="AN36">
            <v>33.4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DA47-A648-DF43-AE11-AC015CDF9543}">
  <dimension ref="A1:M47"/>
  <sheetViews>
    <sheetView zoomScale="115" workbookViewId="0">
      <selection activeCell="L22" sqref="L22:L28"/>
    </sheetView>
  </sheetViews>
  <sheetFormatPr baseColWidth="10" defaultRowHeight="16" x14ac:dyDescent="0.2"/>
  <cols>
    <col min="1" max="1" width="25.33203125" customWidth="1"/>
    <col min="4" max="6" width="10.83203125" style="2"/>
    <col min="8" max="8" width="14.5" customWidth="1"/>
  </cols>
  <sheetData>
    <row r="1" spans="1:9" ht="17" thickBot="1" x14ac:dyDescent="0.25">
      <c r="A1" s="23" t="s">
        <v>67</v>
      </c>
      <c r="B1" s="4" t="s">
        <v>6</v>
      </c>
      <c r="C1" s="4" t="s">
        <v>5</v>
      </c>
      <c r="D1" s="19" t="s">
        <v>4</v>
      </c>
      <c r="E1" s="19" t="s">
        <v>3</v>
      </c>
      <c r="F1" s="19" t="s">
        <v>2</v>
      </c>
      <c r="G1" s="4" t="s">
        <v>1</v>
      </c>
      <c r="H1" s="6" t="s">
        <v>48</v>
      </c>
      <c r="I1" t="s">
        <v>74</v>
      </c>
    </row>
    <row r="2" spans="1:9" x14ac:dyDescent="0.2">
      <c r="A2" s="9" t="s">
        <v>73</v>
      </c>
      <c r="B2">
        <v>4096</v>
      </c>
      <c r="C2">
        <f>'[1]00_default'!B35</f>
        <v>14.995999999999999</v>
      </c>
      <c r="D2" s="2">
        <f>'[1]00_default'!C35</f>
        <v>0.87036000000000002</v>
      </c>
      <c r="E2" s="2">
        <f>'[1]00_default'!D35</f>
        <v>9.2999999999999992E-3</v>
      </c>
      <c r="F2" s="2">
        <f>'[1]00_default'!E35</f>
        <v>0.12035999999999999</v>
      </c>
      <c r="G2">
        <f>'[1]00_default'!F35</f>
        <v>11291033.922199998</v>
      </c>
      <c r="H2" s="8">
        <f>'[1]00_default'!G35</f>
        <v>30</v>
      </c>
    </row>
    <row r="3" spans="1:9" x14ac:dyDescent="0.2">
      <c r="A3" s="9" t="s">
        <v>72</v>
      </c>
      <c r="B3">
        <f>'[1]05_sched_policy'!B36</f>
        <v>2457.6</v>
      </c>
      <c r="C3">
        <f>'[1]05_sched_policy'!C36</f>
        <v>13.201999999999998</v>
      </c>
      <c r="D3" s="2">
        <f>'[1]05_sched_policy'!D36</f>
        <v>0.88195999999999997</v>
      </c>
      <c r="E3" s="2">
        <f>'[1]05_sched_policy'!E36</f>
        <v>1.336E-2</v>
      </c>
      <c r="F3" s="2">
        <f>'[1]05_sched_policy'!F36</f>
        <v>0.10466</v>
      </c>
      <c r="G3">
        <f>'[1]05_sched_policy'!G36</f>
        <v>7532683.3296000008</v>
      </c>
      <c r="H3" s="8">
        <f>'[1]05_sched_policy'!H36</f>
        <v>39.200000000000003</v>
      </c>
    </row>
    <row r="4" spans="1:9" x14ac:dyDescent="0.2">
      <c r="A4" s="9" t="s">
        <v>68</v>
      </c>
      <c r="B4">
        <f>'[1]01_nice'!B34</f>
        <v>2048</v>
      </c>
      <c r="C4">
        <f>'[1]01_nice'!C34</f>
        <v>12.620000000000001</v>
      </c>
      <c r="D4" s="2">
        <f>'[1]01_nice'!D34</f>
        <v>0.86102000000000012</v>
      </c>
      <c r="E4" s="2">
        <f>'[1]01_nice'!E34</f>
        <v>3.7059999999999996E-2</v>
      </c>
      <c r="F4" s="2">
        <f>'[1]01_nice'!F34</f>
        <v>0.10194</v>
      </c>
      <c r="G4">
        <f>'[1]01_nice'!G34</f>
        <v>6570248.0447999993</v>
      </c>
      <c r="H4" s="8">
        <f>'[1]01_nice'!H34</f>
        <v>2550</v>
      </c>
    </row>
    <row r="5" spans="1:9" x14ac:dyDescent="0.2">
      <c r="A5" s="9" t="s">
        <v>69</v>
      </c>
      <c r="B5">
        <f>'[1]01_nice'!K34</f>
        <v>2048</v>
      </c>
      <c r="C5">
        <f>'[1]01_nice'!L34</f>
        <v>12.872</v>
      </c>
      <c r="D5" s="2">
        <f>'[1]01_nice'!M34</f>
        <v>0.88375999999999999</v>
      </c>
      <c r="E5" s="2">
        <f>'[1]01_nice'!N34</f>
        <v>1.064E-2</v>
      </c>
      <c r="F5" s="2">
        <f>'[1]01_nice'!O34</f>
        <v>0.10557999999999998</v>
      </c>
      <c r="G5">
        <f>'[1]01_nice'!P34</f>
        <v>6496561.4409999996</v>
      </c>
      <c r="H5" s="8">
        <f>'[1]01_nice'!Q34</f>
        <v>25.8</v>
      </c>
    </row>
    <row r="6" spans="1:9" x14ac:dyDescent="0.2">
      <c r="A6" s="9" t="s">
        <v>70</v>
      </c>
      <c r="B6">
        <f>'[1]02_cpu_affinity'!J35</f>
        <v>2048</v>
      </c>
      <c r="C6">
        <f>'[1]02_cpu_affinity'!K35</f>
        <v>11.146000000000001</v>
      </c>
      <c r="D6" s="2">
        <f>'[1]02_cpu_affinity'!L35</f>
        <v>0.88282000000000005</v>
      </c>
      <c r="E6" s="2">
        <f>'[1]02_cpu_affinity'!M35</f>
        <v>1.196E-2</v>
      </c>
      <c r="F6" s="2">
        <f>'[1]02_cpu_affinity'!N35</f>
        <v>0.10522000000000001</v>
      </c>
      <c r="G6">
        <f>'[1]02_cpu_affinity'!O35</f>
        <v>7471709.0655999985</v>
      </c>
      <c r="H6" s="8">
        <f>'[1]02_cpu_affinity'!P35</f>
        <v>38.6</v>
      </c>
    </row>
    <row r="7" spans="1:9" x14ac:dyDescent="0.2">
      <c r="A7" s="9" t="s">
        <v>71</v>
      </c>
      <c r="B7">
        <f>'[1]02_cpu_affinity'!R35</f>
        <v>2048</v>
      </c>
      <c r="C7">
        <f>'[1]02_cpu_affinity'!S35</f>
        <v>11.342000000000002</v>
      </c>
      <c r="D7" s="2">
        <f>'[1]02_cpu_affinity'!T35</f>
        <v>0.88387999999999989</v>
      </c>
      <c r="E7" s="2">
        <f>'[1]02_cpu_affinity'!U35</f>
        <v>1.064E-2</v>
      </c>
      <c r="F7" s="2">
        <f>'[1]02_cpu_affinity'!V35</f>
        <v>0.10546</v>
      </c>
      <c r="G7">
        <f>'[1]02_cpu_affinity'!W35</f>
        <v>7343273.9716000007</v>
      </c>
      <c r="H7" s="8">
        <f>'[1]02_cpu_affinity'!X35</f>
        <v>22.6</v>
      </c>
    </row>
    <row r="8" spans="1:9" x14ac:dyDescent="0.2">
      <c r="A8" s="9" t="s">
        <v>33</v>
      </c>
      <c r="B8">
        <f>'[1]05_sched_policy'!J36</f>
        <v>2457.6</v>
      </c>
      <c r="C8">
        <f>'[1]05_sched_policy'!K36</f>
        <v>12.790000000000003</v>
      </c>
      <c r="D8" s="2">
        <f>'[1]05_sched_policy'!L36</f>
        <v>0.88253999999999999</v>
      </c>
      <c r="E8" s="2">
        <f>'[1]05_sched_policy'!M36</f>
        <v>1.1519999999999999E-2</v>
      </c>
      <c r="F8" s="2">
        <f>'[1]05_sched_policy'!N36</f>
        <v>0.10593999999999999</v>
      </c>
      <c r="G8">
        <f>'[1]05_sched_policy'!O36</f>
        <v>7774618.3651999999</v>
      </c>
      <c r="H8" s="8">
        <f>'[1]05_sched_policy'!P36</f>
        <v>25</v>
      </c>
    </row>
    <row r="9" spans="1:9" x14ac:dyDescent="0.2">
      <c r="A9" s="9" t="s">
        <v>31</v>
      </c>
      <c r="B9">
        <f>'[1]05_sched_policy'!R36</f>
        <v>2048</v>
      </c>
      <c r="C9">
        <f>'[1]05_sched_policy'!S36</f>
        <v>10.786</v>
      </c>
      <c r="D9" s="2">
        <f>'[1]05_sched_policy'!T36</f>
        <v>0.88292000000000004</v>
      </c>
      <c r="E9" s="2">
        <f>'[1]05_sched_policy'!U36</f>
        <v>1.1959999999999998E-2</v>
      </c>
      <c r="F9" s="2">
        <f>'[1]05_sched_policy'!V36</f>
        <v>0.10511999999999999</v>
      </c>
      <c r="G9">
        <f>'[1]05_sched_policy'!W36</f>
        <v>7716932.2826000005</v>
      </c>
      <c r="H9" s="8">
        <f>'[1]05_sched_policy'!X36</f>
        <v>21.2</v>
      </c>
    </row>
    <row r="10" spans="1:9" x14ac:dyDescent="0.2">
      <c r="A10" s="9" t="s">
        <v>30</v>
      </c>
      <c r="B10">
        <f>'[1]05_sched_policy'!Z36</f>
        <v>2048</v>
      </c>
      <c r="C10">
        <f>'[1]05_sched_policy'!AA36</f>
        <v>10.84</v>
      </c>
      <c r="D10" s="2">
        <f>'[1]05_sched_policy'!AB36</f>
        <v>0.88044000000000011</v>
      </c>
      <c r="E10" s="2">
        <f>'[1]05_sched_policy'!AC36</f>
        <v>1.3980000000000001E-2</v>
      </c>
      <c r="F10" s="2">
        <f>'[1]05_sched_policy'!AD36</f>
        <v>0.10556000000000001</v>
      </c>
      <c r="G10">
        <f>'[1]05_sched_policy'!AE36</f>
        <v>7681887.4400000004</v>
      </c>
      <c r="H10" s="8">
        <f>'[1]05_sched_policy'!AF36</f>
        <v>36.4</v>
      </c>
    </row>
    <row r="11" spans="1:9" x14ac:dyDescent="0.2">
      <c r="A11" s="9" t="s">
        <v>28</v>
      </c>
      <c r="B11">
        <f>'[1]05_sched_policy'!AH36</f>
        <v>0</v>
      </c>
      <c r="C11">
        <f>'[1]05_sched_policy'!AI36</f>
        <v>0</v>
      </c>
      <c r="D11" s="2">
        <f>'[1]05_sched_policy'!AJ36</f>
        <v>0</v>
      </c>
      <c r="E11" s="2">
        <f>'[1]05_sched_policy'!AK36</f>
        <v>0</v>
      </c>
      <c r="F11" s="2">
        <f>'[1]05_sched_policy'!AL36</f>
        <v>0</v>
      </c>
      <c r="G11">
        <f>'[1]05_sched_policy'!AM36</f>
        <v>0</v>
      </c>
      <c r="H11" s="8">
        <f>'[1]05_sched_policy'!AN36</f>
        <v>600.20000000000005</v>
      </c>
    </row>
    <row r="12" spans="1:9" x14ac:dyDescent="0.2">
      <c r="A12" s="9" t="s">
        <v>63</v>
      </c>
      <c r="B12">
        <f>'[1]06_sched_tuning'!J36</f>
        <v>2048</v>
      </c>
      <c r="C12">
        <f>'[1]06_sched_tuning'!K36</f>
        <v>10.45</v>
      </c>
      <c r="D12" s="2">
        <f>'[1]06_sched_tuning'!L36</f>
        <v>0.88195999999999997</v>
      </c>
      <c r="E12" s="2">
        <f>'[1]06_sched_tuning'!M36</f>
        <v>1.2500000000000001E-2</v>
      </c>
      <c r="F12" s="2">
        <f>'[1]06_sched_tuning'!N36</f>
        <v>0.10553999999999999</v>
      </c>
      <c r="G12">
        <f>'[1]06_sched_tuning'!O36</f>
        <v>7968914.5209999997</v>
      </c>
      <c r="H12" s="8">
        <f>'[1]06_sched_tuning'!P36</f>
        <v>30.4</v>
      </c>
    </row>
    <row r="13" spans="1:9" x14ac:dyDescent="0.2">
      <c r="A13" s="9" t="s">
        <v>64</v>
      </c>
      <c r="B13">
        <f>'[1]06_sched_tuning'!R36</f>
        <v>2048</v>
      </c>
      <c r="C13">
        <f>'[1]06_sched_tuning'!S36</f>
        <v>10.5</v>
      </c>
      <c r="D13" s="2">
        <f>'[1]06_sched_tuning'!T36</f>
        <v>0.88257999999999992</v>
      </c>
      <c r="E13" s="2">
        <f>'[1]06_sched_tuning'!U36</f>
        <v>1.162E-2</v>
      </c>
      <c r="F13" s="2">
        <f>'[1]06_sched_tuning'!V36</f>
        <v>0.10580000000000001</v>
      </c>
      <c r="G13">
        <f>'[1]06_sched_tuning'!W36</f>
        <v>7933110.0388000011</v>
      </c>
      <c r="H13" s="8">
        <f>'[1]06_sched_tuning'!X36</f>
        <v>31</v>
      </c>
    </row>
    <row r="14" spans="1:9" x14ac:dyDescent="0.2">
      <c r="A14" s="9" t="s">
        <v>65</v>
      </c>
      <c r="B14">
        <f>'[1]06_sched_tuning'!Z36</f>
        <v>2048</v>
      </c>
      <c r="C14">
        <f>'[1]06_sched_tuning'!AA36</f>
        <v>10.526</v>
      </c>
      <c r="D14" s="2">
        <f>'[1]06_sched_tuning'!AB36</f>
        <v>0.88238000000000005</v>
      </c>
      <c r="E14" s="2">
        <f>'[1]06_sched_tuning'!AC36</f>
        <v>1.2359999999999999E-2</v>
      </c>
      <c r="F14" s="2">
        <f>'[1]06_sched_tuning'!AD36</f>
        <v>0.10525999999999999</v>
      </c>
      <c r="G14">
        <f>'[1]06_sched_tuning'!AE36</f>
        <v>7908366.4189999998</v>
      </c>
      <c r="H14" s="8">
        <f>'[1]06_sched_tuning'!AF36</f>
        <v>31.6</v>
      </c>
    </row>
    <row r="15" spans="1:9" ht="17" thickBot="1" x14ac:dyDescent="0.25">
      <c r="A15" s="10" t="s">
        <v>66</v>
      </c>
      <c r="B15" s="11">
        <f>'[1]06_sched_tuning'!AH36</f>
        <v>2048</v>
      </c>
      <c r="C15" s="11">
        <f>'[1]06_sched_tuning'!AI36</f>
        <v>10.602</v>
      </c>
      <c r="D15" s="12">
        <f>'[1]06_sched_tuning'!AJ36</f>
        <v>0.88169999999999982</v>
      </c>
      <c r="E15" s="12">
        <f>'[1]06_sched_tuning'!AK36</f>
        <v>1.298E-2</v>
      </c>
      <c r="F15" s="12">
        <f>'[1]06_sched_tuning'!AL36</f>
        <v>0.10536000000000001</v>
      </c>
      <c r="G15" s="11">
        <f>'[1]06_sched_tuning'!AM36</f>
        <v>7850424.2266000006</v>
      </c>
      <c r="H15" s="13">
        <f>'[1]06_sched_tuning'!AN36</f>
        <v>33.4</v>
      </c>
    </row>
    <row r="17" spans="1:13" ht="17" thickBot="1" x14ac:dyDescent="0.25"/>
    <row r="18" spans="1:13" ht="17" thickBot="1" x14ac:dyDescent="0.25">
      <c r="A18" s="23" t="s">
        <v>67</v>
      </c>
      <c r="B18" s="4" t="s">
        <v>6</v>
      </c>
      <c r="C18" s="4" t="s">
        <v>5</v>
      </c>
      <c r="D18" s="19" t="s">
        <v>4</v>
      </c>
      <c r="E18" s="19" t="s">
        <v>3</v>
      </c>
      <c r="F18" s="19" t="s">
        <v>2</v>
      </c>
      <c r="G18" s="4" t="s">
        <v>1</v>
      </c>
      <c r="H18" s="6" t="s">
        <v>48</v>
      </c>
      <c r="I18" t="s">
        <v>75</v>
      </c>
    </row>
    <row r="19" spans="1:13" x14ac:dyDescent="0.2">
      <c r="A19" s="9" t="s">
        <v>73</v>
      </c>
      <c r="B19">
        <v>4096</v>
      </c>
      <c r="C19">
        <v>14.995999999999999</v>
      </c>
      <c r="D19" s="2">
        <v>0.87036000000000002</v>
      </c>
      <c r="E19" s="2">
        <v>9.2999999999999992E-3</v>
      </c>
      <c r="F19" s="2">
        <v>0.12035999999999999</v>
      </c>
      <c r="G19">
        <v>11291033.922199998</v>
      </c>
      <c r="H19" s="8">
        <v>30</v>
      </c>
      <c r="K19" s="2"/>
      <c r="M19" s="2"/>
    </row>
    <row r="20" spans="1:13" x14ac:dyDescent="0.2">
      <c r="A20" s="9" t="s">
        <v>72</v>
      </c>
      <c r="B20">
        <v>2457.6</v>
      </c>
      <c r="C20">
        <v>13.201999999999998</v>
      </c>
      <c r="D20" s="2">
        <v>0.88195999999999997</v>
      </c>
      <c r="E20" s="2">
        <v>1.336E-2</v>
      </c>
      <c r="F20" s="2">
        <v>0.10466</v>
      </c>
      <c r="G20">
        <v>7532683.3296000008</v>
      </c>
      <c r="H20" s="8">
        <v>39.200000000000003</v>
      </c>
    </row>
    <row r="21" spans="1:13" x14ac:dyDescent="0.2">
      <c r="A21" s="9" t="s">
        <v>68</v>
      </c>
      <c r="B21">
        <v>2048</v>
      </c>
      <c r="C21">
        <v>12.620000000000001</v>
      </c>
      <c r="D21" s="2">
        <v>0.86102000000000012</v>
      </c>
      <c r="E21" s="2">
        <v>3.7059999999999996E-2</v>
      </c>
      <c r="F21" s="2">
        <v>0.10194</v>
      </c>
      <c r="G21">
        <v>6570248.0447999993</v>
      </c>
      <c r="H21" s="8">
        <v>2550</v>
      </c>
    </row>
    <row r="22" spans="1:13" ht="17" thickBot="1" x14ac:dyDescent="0.25">
      <c r="A22" s="10" t="s">
        <v>69</v>
      </c>
      <c r="B22" s="11">
        <v>2048</v>
      </c>
      <c r="C22" s="11">
        <v>12.872</v>
      </c>
      <c r="D22" s="12">
        <v>0.88375999999999999</v>
      </c>
      <c r="E22" s="12">
        <v>1.064E-2</v>
      </c>
      <c r="F22" s="12">
        <v>0.10557999999999998</v>
      </c>
      <c r="G22" s="11">
        <v>6496561.4409999996</v>
      </c>
      <c r="H22" s="13">
        <v>25.8</v>
      </c>
    </row>
    <row r="24" spans="1:13" ht="17" thickBot="1" x14ac:dyDescent="0.25"/>
    <row r="25" spans="1:13" ht="17" thickBot="1" x14ac:dyDescent="0.25">
      <c r="A25" s="23" t="s">
        <v>67</v>
      </c>
      <c r="B25" s="4" t="s">
        <v>6</v>
      </c>
      <c r="C25" s="4" t="s">
        <v>5</v>
      </c>
      <c r="D25" s="19" t="s">
        <v>4</v>
      </c>
      <c r="E25" s="19" t="s">
        <v>3</v>
      </c>
      <c r="F25" s="19" t="s">
        <v>2</v>
      </c>
      <c r="G25" s="4" t="s">
        <v>1</v>
      </c>
      <c r="H25" s="6" t="s">
        <v>48</v>
      </c>
      <c r="I25" t="s">
        <v>76</v>
      </c>
    </row>
    <row r="26" spans="1:13" x14ac:dyDescent="0.2">
      <c r="A26" s="9" t="s">
        <v>73</v>
      </c>
      <c r="B26">
        <v>4096</v>
      </c>
      <c r="C26">
        <v>14.995999999999999</v>
      </c>
      <c r="D26" s="2">
        <v>0.87036000000000002</v>
      </c>
      <c r="E26" s="2">
        <v>9.2999999999999992E-3</v>
      </c>
      <c r="F26" s="2">
        <v>0.12035999999999999</v>
      </c>
      <c r="G26">
        <v>11291033.922199998</v>
      </c>
      <c r="H26" s="8">
        <v>30</v>
      </c>
    </row>
    <row r="27" spans="1:13" x14ac:dyDescent="0.2">
      <c r="A27" s="9" t="s">
        <v>72</v>
      </c>
      <c r="B27">
        <v>2457.6</v>
      </c>
      <c r="C27">
        <v>13.201999999999998</v>
      </c>
      <c r="D27" s="2">
        <v>0.88195999999999997</v>
      </c>
      <c r="E27" s="2">
        <v>1.336E-2</v>
      </c>
      <c r="F27" s="2">
        <v>0.10466</v>
      </c>
      <c r="G27">
        <v>7532683.3296000008</v>
      </c>
      <c r="H27" s="8">
        <v>39.200000000000003</v>
      </c>
    </row>
    <row r="28" spans="1:13" x14ac:dyDescent="0.2">
      <c r="A28" s="9" t="s">
        <v>70</v>
      </c>
      <c r="B28">
        <v>2048</v>
      </c>
      <c r="C28">
        <v>11.146000000000001</v>
      </c>
      <c r="D28" s="2">
        <v>0.88282000000000005</v>
      </c>
      <c r="E28" s="2">
        <v>1.196E-2</v>
      </c>
      <c r="F28" s="2">
        <v>0.10522000000000001</v>
      </c>
      <c r="G28">
        <v>7471709.0655999985</v>
      </c>
      <c r="H28" s="8">
        <v>38.6</v>
      </c>
    </row>
    <row r="29" spans="1:13" ht="17" thickBot="1" x14ac:dyDescent="0.25">
      <c r="A29" s="10" t="s">
        <v>71</v>
      </c>
      <c r="B29" s="11">
        <v>2048</v>
      </c>
      <c r="C29" s="11">
        <v>11.342000000000002</v>
      </c>
      <c r="D29" s="12">
        <v>0.88387999999999989</v>
      </c>
      <c r="E29" s="12">
        <v>1.064E-2</v>
      </c>
      <c r="F29" s="12">
        <v>0.10546</v>
      </c>
      <c r="G29" s="11">
        <v>7343273.9716000007</v>
      </c>
      <c r="H29" s="13">
        <v>22.6</v>
      </c>
    </row>
    <row r="31" spans="1:13" ht="17" thickBot="1" x14ac:dyDescent="0.25"/>
    <row r="32" spans="1:13" ht="17" thickBot="1" x14ac:dyDescent="0.25">
      <c r="A32" s="23" t="s">
        <v>67</v>
      </c>
      <c r="B32" s="4" t="s">
        <v>6</v>
      </c>
      <c r="C32" s="4" t="s">
        <v>5</v>
      </c>
      <c r="D32" s="19" t="s">
        <v>4</v>
      </c>
      <c r="E32" s="19" t="s">
        <v>3</v>
      </c>
      <c r="F32" s="19" t="s">
        <v>2</v>
      </c>
      <c r="G32" s="4" t="s">
        <v>1</v>
      </c>
      <c r="H32" s="6" t="s">
        <v>48</v>
      </c>
      <c r="I32" t="s">
        <v>77</v>
      </c>
    </row>
    <row r="33" spans="1:9" x14ac:dyDescent="0.2">
      <c r="A33" s="9" t="s">
        <v>73</v>
      </c>
      <c r="B33">
        <v>4096</v>
      </c>
      <c r="C33">
        <v>14.995999999999999</v>
      </c>
      <c r="D33" s="2">
        <v>0.87036000000000002</v>
      </c>
      <c r="E33" s="2">
        <v>9.2999999999999992E-3</v>
      </c>
      <c r="F33" s="2">
        <v>0.12035999999999999</v>
      </c>
      <c r="G33">
        <v>11291033.922199998</v>
      </c>
      <c r="H33" s="8">
        <v>30</v>
      </c>
    </row>
    <row r="34" spans="1:9" x14ac:dyDescent="0.2">
      <c r="A34" s="9" t="s">
        <v>72</v>
      </c>
      <c r="B34">
        <v>2457.6</v>
      </c>
      <c r="C34">
        <v>13.201999999999998</v>
      </c>
      <c r="D34" s="2">
        <v>0.88195999999999997</v>
      </c>
      <c r="E34" s="2">
        <v>1.336E-2</v>
      </c>
      <c r="F34" s="2">
        <v>0.10466</v>
      </c>
      <c r="G34">
        <v>7532683.3296000008</v>
      </c>
      <c r="H34" s="8">
        <v>39.200000000000003</v>
      </c>
    </row>
    <row r="35" spans="1:9" x14ac:dyDescent="0.2">
      <c r="A35" s="9" t="s">
        <v>33</v>
      </c>
      <c r="B35">
        <v>2457.6</v>
      </c>
      <c r="C35">
        <v>12.790000000000003</v>
      </c>
      <c r="D35" s="2">
        <v>0.88253999999999999</v>
      </c>
      <c r="E35" s="2">
        <v>1.1519999999999999E-2</v>
      </c>
      <c r="F35" s="2">
        <v>0.10593999999999999</v>
      </c>
      <c r="G35">
        <v>7774618.3651999999</v>
      </c>
      <c r="H35" s="8">
        <v>25</v>
      </c>
    </row>
    <row r="36" spans="1:9" x14ac:dyDescent="0.2">
      <c r="A36" s="9" t="s">
        <v>31</v>
      </c>
      <c r="B36">
        <v>2048</v>
      </c>
      <c r="C36">
        <v>10.786</v>
      </c>
      <c r="D36" s="2">
        <v>0.88292000000000004</v>
      </c>
      <c r="E36" s="2">
        <v>1.1959999999999998E-2</v>
      </c>
      <c r="F36" s="2">
        <v>0.10511999999999999</v>
      </c>
      <c r="G36">
        <v>7716932.2826000005</v>
      </c>
      <c r="H36" s="8">
        <v>21.2</v>
      </c>
    </row>
    <row r="37" spans="1:9" x14ac:dyDescent="0.2">
      <c r="A37" s="9" t="s">
        <v>30</v>
      </c>
      <c r="B37">
        <v>2048</v>
      </c>
      <c r="C37">
        <v>10.84</v>
      </c>
      <c r="D37" s="2">
        <v>0.88044000000000011</v>
      </c>
      <c r="E37" s="2">
        <v>1.3980000000000001E-2</v>
      </c>
      <c r="F37" s="2">
        <v>0.10556000000000001</v>
      </c>
      <c r="G37">
        <v>7681887.4400000004</v>
      </c>
      <c r="H37" s="8">
        <v>36.4</v>
      </c>
    </row>
    <row r="38" spans="1:9" ht="17" thickBot="1" x14ac:dyDescent="0.25">
      <c r="A38" s="10" t="s">
        <v>28</v>
      </c>
      <c r="B38" s="11">
        <v>0</v>
      </c>
      <c r="C38" s="11">
        <v>0</v>
      </c>
      <c r="D38" s="12">
        <v>0</v>
      </c>
      <c r="E38" s="12">
        <v>0</v>
      </c>
      <c r="F38" s="12">
        <v>0</v>
      </c>
      <c r="G38" s="11">
        <v>0</v>
      </c>
      <c r="H38" s="13">
        <v>600.20000000000005</v>
      </c>
    </row>
    <row r="40" spans="1:9" ht="17" thickBot="1" x14ac:dyDescent="0.25"/>
    <row r="41" spans="1:9" ht="17" thickBot="1" x14ac:dyDescent="0.25">
      <c r="A41" s="23" t="s">
        <v>67</v>
      </c>
      <c r="B41" s="4" t="s">
        <v>6</v>
      </c>
      <c r="C41" s="4" t="s">
        <v>5</v>
      </c>
      <c r="D41" s="19" t="s">
        <v>4</v>
      </c>
      <c r="E41" s="19" t="s">
        <v>3</v>
      </c>
      <c r="F41" s="19" t="s">
        <v>2</v>
      </c>
      <c r="G41" s="4" t="s">
        <v>1</v>
      </c>
      <c r="H41" s="6" t="s">
        <v>48</v>
      </c>
      <c r="I41" t="s">
        <v>78</v>
      </c>
    </row>
    <row r="42" spans="1:9" x14ac:dyDescent="0.2">
      <c r="A42" s="9" t="s">
        <v>73</v>
      </c>
      <c r="B42">
        <v>4096</v>
      </c>
      <c r="C42">
        <v>14.995999999999999</v>
      </c>
      <c r="D42" s="2">
        <v>0.87036000000000002</v>
      </c>
      <c r="E42" s="2">
        <v>9.2999999999999992E-3</v>
      </c>
      <c r="F42" s="2">
        <v>0.12035999999999999</v>
      </c>
      <c r="G42">
        <v>11291033.922199998</v>
      </c>
      <c r="H42" s="8">
        <v>30</v>
      </c>
    </row>
    <row r="43" spans="1:9" x14ac:dyDescent="0.2">
      <c r="A43" s="9" t="s">
        <v>72</v>
      </c>
      <c r="B43">
        <v>2457.6</v>
      </c>
      <c r="C43">
        <v>13.201999999999998</v>
      </c>
      <c r="D43" s="2">
        <v>0.88195999999999997</v>
      </c>
      <c r="E43" s="2">
        <v>1.336E-2</v>
      </c>
      <c r="F43" s="2">
        <v>0.10466</v>
      </c>
      <c r="G43">
        <v>7532683.3296000008</v>
      </c>
      <c r="H43" s="8">
        <v>39.200000000000003</v>
      </c>
    </row>
    <row r="44" spans="1:9" x14ac:dyDescent="0.2">
      <c r="A44" s="9" t="s">
        <v>63</v>
      </c>
      <c r="B44">
        <v>2048</v>
      </c>
      <c r="C44">
        <v>10.45</v>
      </c>
      <c r="D44" s="2">
        <v>0.88195999999999997</v>
      </c>
      <c r="E44" s="2">
        <v>1.2500000000000001E-2</v>
      </c>
      <c r="F44" s="2">
        <v>0.10553999999999999</v>
      </c>
      <c r="G44">
        <v>7968914.5209999997</v>
      </c>
      <c r="H44" s="8">
        <v>30.4</v>
      </c>
    </row>
    <row r="45" spans="1:9" x14ac:dyDescent="0.2">
      <c r="A45" s="9" t="s">
        <v>64</v>
      </c>
      <c r="B45">
        <v>2048</v>
      </c>
      <c r="C45">
        <v>10.5</v>
      </c>
      <c r="D45" s="2">
        <v>0.88257999999999992</v>
      </c>
      <c r="E45" s="2">
        <v>1.162E-2</v>
      </c>
      <c r="F45" s="2">
        <v>0.10580000000000001</v>
      </c>
      <c r="G45">
        <v>7933110.0388000011</v>
      </c>
      <c r="H45" s="8">
        <v>31</v>
      </c>
    </row>
    <row r="46" spans="1:9" x14ac:dyDescent="0.2">
      <c r="A46" s="9" t="s">
        <v>65</v>
      </c>
      <c r="B46">
        <v>2048</v>
      </c>
      <c r="C46">
        <v>10.526</v>
      </c>
      <c r="D46" s="2">
        <v>0.88238000000000005</v>
      </c>
      <c r="E46" s="2">
        <v>1.2359999999999999E-2</v>
      </c>
      <c r="F46" s="2">
        <v>0.10525999999999999</v>
      </c>
      <c r="G46">
        <v>7908366.4189999998</v>
      </c>
      <c r="H46" s="8">
        <v>31.6</v>
      </c>
    </row>
    <row r="47" spans="1:9" ht="17" thickBot="1" x14ac:dyDescent="0.25">
      <c r="A47" s="10" t="s">
        <v>66</v>
      </c>
      <c r="B47" s="11">
        <v>2048</v>
      </c>
      <c r="C47" s="11">
        <v>10.602</v>
      </c>
      <c r="D47" s="12">
        <v>0.88169999999999982</v>
      </c>
      <c r="E47" s="12">
        <v>1.298E-2</v>
      </c>
      <c r="F47" s="12">
        <v>0.10536000000000001</v>
      </c>
      <c r="G47" s="11">
        <v>7850424.2266000006</v>
      </c>
      <c r="H47" s="13">
        <v>33.4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3003-DA80-1B4B-BF06-5EC06EE485EF}">
  <dimension ref="A1:H44"/>
  <sheetViews>
    <sheetView topLeftCell="A7" workbookViewId="0">
      <selection activeCell="F36" sqref="F36"/>
    </sheetView>
  </sheetViews>
  <sheetFormatPr baseColWidth="10" defaultRowHeight="16" x14ac:dyDescent="0.2"/>
  <cols>
    <col min="1" max="1" width="12.1640625" customWidth="1"/>
    <col min="3" max="5" width="10.83203125" style="2"/>
    <col min="6" max="6" width="13.6640625" customWidth="1"/>
    <col min="7" max="7" width="14" customWidth="1"/>
    <col min="9" max="9" width="21.33203125" customWidth="1"/>
  </cols>
  <sheetData>
    <row r="1" spans="1:8" ht="17" thickBot="1" x14ac:dyDescent="0.25">
      <c r="A1" s="23" t="s">
        <v>6</v>
      </c>
      <c r="B1" s="4" t="s">
        <v>5</v>
      </c>
      <c r="C1" s="19" t="s">
        <v>4</v>
      </c>
      <c r="D1" s="19" t="s">
        <v>3</v>
      </c>
      <c r="E1" s="19" t="s">
        <v>2</v>
      </c>
      <c r="F1" s="4" t="s">
        <v>1</v>
      </c>
      <c r="G1" s="6" t="s">
        <v>42</v>
      </c>
      <c r="H1" t="s">
        <v>45</v>
      </c>
    </row>
    <row r="2" spans="1:8" x14ac:dyDescent="0.2">
      <c r="A2" s="9">
        <v>256</v>
      </c>
      <c r="B2">
        <v>0.92</v>
      </c>
      <c r="C2" s="2">
        <v>0.86970000000000003</v>
      </c>
      <c r="D2" s="2">
        <v>9.1000000000000004E-3</v>
      </c>
      <c r="E2" s="2">
        <v>0.1212</v>
      </c>
      <c r="F2">
        <v>11551753.024</v>
      </c>
      <c r="G2" s="8" t="s">
        <v>8</v>
      </c>
    </row>
    <row r="3" spans="1:8" x14ac:dyDescent="0.2">
      <c r="A3" s="9">
        <v>512</v>
      </c>
      <c r="B3">
        <v>1.84</v>
      </c>
      <c r="C3" s="2">
        <v>0.87</v>
      </c>
      <c r="D3" s="2">
        <v>9.1999999999999998E-3</v>
      </c>
      <c r="E3" s="2">
        <v>0.1208</v>
      </c>
      <c r="F3">
        <v>11480047.163000001</v>
      </c>
      <c r="G3" s="8"/>
    </row>
    <row r="4" spans="1:8" x14ac:dyDescent="0.2">
      <c r="A4" s="9">
        <v>1024</v>
      </c>
      <c r="B4">
        <v>3.69</v>
      </c>
      <c r="C4" s="2">
        <v>0.86980000000000002</v>
      </c>
      <c r="D4" s="2">
        <v>9.1999999999999998E-3</v>
      </c>
      <c r="E4" s="2">
        <v>0.121</v>
      </c>
      <c r="F4">
        <v>11483099.174000001</v>
      </c>
      <c r="G4" s="8"/>
    </row>
    <row r="5" spans="1:8" x14ac:dyDescent="0.2">
      <c r="A5" s="9">
        <v>2048</v>
      </c>
      <c r="B5">
        <v>7.35</v>
      </c>
      <c r="C5" s="2">
        <v>0.86970000000000003</v>
      </c>
      <c r="D5" s="2">
        <v>9.1999999999999998E-3</v>
      </c>
      <c r="E5" s="2">
        <v>0.1211</v>
      </c>
      <c r="F5">
        <v>11521247.66</v>
      </c>
      <c r="G5" s="8"/>
    </row>
    <row r="6" spans="1:8" x14ac:dyDescent="0.2">
      <c r="A6" s="9">
        <v>4096</v>
      </c>
      <c r="B6">
        <v>14.7</v>
      </c>
      <c r="C6" s="2">
        <v>0.86980000000000002</v>
      </c>
      <c r="D6" s="2">
        <v>9.1000000000000004E-3</v>
      </c>
      <c r="E6" s="2">
        <v>0.1211</v>
      </c>
      <c r="F6">
        <v>11525586.272</v>
      </c>
      <c r="G6" s="8"/>
    </row>
    <row r="7" spans="1:8" x14ac:dyDescent="0.2">
      <c r="A7" s="9">
        <v>256</v>
      </c>
      <c r="B7">
        <v>0.93</v>
      </c>
      <c r="C7" s="2">
        <v>0.87119999999999997</v>
      </c>
      <c r="D7" s="2">
        <v>8.9999999999999993E-3</v>
      </c>
      <c r="E7" s="2">
        <v>0.1198</v>
      </c>
      <c r="F7">
        <v>11398844.949999999</v>
      </c>
      <c r="G7" s="8" t="s">
        <v>0</v>
      </c>
    </row>
    <row r="8" spans="1:8" x14ac:dyDescent="0.2">
      <c r="A8" s="9">
        <v>512</v>
      </c>
      <c r="B8">
        <v>1.85</v>
      </c>
      <c r="C8" s="2">
        <v>0.87090000000000001</v>
      </c>
      <c r="D8" s="2">
        <v>8.9999999999999993E-3</v>
      </c>
      <c r="E8" s="2">
        <v>0.1201</v>
      </c>
      <c r="F8">
        <v>11436020.265000001</v>
      </c>
      <c r="G8" s="8"/>
    </row>
    <row r="9" spans="1:8" x14ac:dyDescent="0.2">
      <c r="A9" s="9">
        <v>1024</v>
      </c>
      <c r="B9">
        <v>3.71</v>
      </c>
      <c r="C9" s="2">
        <v>0.871</v>
      </c>
      <c r="D9" s="2">
        <v>8.9999999999999993E-3</v>
      </c>
      <c r="E9" s="2">
        <v>0.12</v>
      </c>
      <c r="F9">
        <v>11414318.665999999</v>
      </c>
      <c r="G9" s="8"/>
    </row>
    <row r="10" spans="1:8" x14ac:dyDescent="0.2">
      <c r="A10" s="9">
        <v>2048</v>
      </c>
      <c r="B10">
        <v>7.42</v>
      </c>
      <c r="C10" s="2">
        <v>0.87080000000000002</v>
      </c>
      <c r="D10" s="2">
        <v>9.1000000000000004E-3</v>
      </c>
      <c r="E10" s="2">
        <v>0.1201</v>
      </c>
      <c r="F10">
        <v>11410259.219000001</v>
      </c>
      <c r="G10" s="8"/>
    </row>
    <row r="11" spans="1:8" x14ac:dyDescent="0.2">
      <c r="A11" s="9">
        <v>4096</v>
      </c>
      <c r="B11">
        <v>14.95</v>
      </c>
      <c r="C11" s="2">
        <v>0.87090000000000001</v>
      </c>
      <c r="D11" s="2">
        <v>9.2999999999999992E-3</v>
      </c>
      <c r="E11" s="2">
        <v>0.1198</v>
      </c>
      <c r="F11">
        <v>11316039.934</v>
      </c>
      <c r="G11" s="8"/>
    </row>
    <row r="12" spans="1:8" x14ac:dyDescent="0.2">
      <c r="A12" s="9">
        <v>256</v>
      </c>
      <c r="B12">
        <v>0.93</v>
      </c>
      <c r="C12" s="2">
        <v>0.87119999999999997</v>
      </c>
      <c r="D12" s="2">
        <v>9.1000000000000004E-3</v>
      </c>
      <c r="E12" s="2">
        <v>0.1197</v>
      </c>
      <c r="F12">
        <v>11387312.442</v>
      </c>
      <c r="G12" s="8" t="s">
        <v>7</v>
      </c>
    </row>
    <row r="13" spans="1:8" x14ac:dyDescent="0.2">
      <c r="A13" s="9">
        <v>512</v>
      </c>
      <c r="B13">
        <v>1.86</v>
      </c>
      <c r="C13" s="2">
        <v>0.87090000000000001</v>
      </c>
      <c r="D13" s="2">
        <v>9.1999999999999998E-3</v>
      </c>
      <c r="E13" s="2">
        <v>0.11990000000000001</v>
      </c>
      <c r="F13">
        <v>11352736.812999999</v>
      </c>
      <c r="G13" s="8"/>
    </row>
    <row r="14" spans="1:8" x14ac:dyDescent="0.2">
      <c r="A14" s="9">
        <v>1024</v>
      </c>
      <c r="B14">
        <v>3.77</v>
      </c>
      <c r="C14" s="2">
        <v>0.87160000000000004</v>
      </c>
      <c r="D14" s="2">
        <v>9.4000000000000004E-3</v>
      </c>
      <c r="E14" s="2">
        <v>0.11899999999999999</v>
      </c>
      <c r="F14">
        <v>11202257.262</v>
      </c>
      <c r="G14" s="8"/>
    </row>
    <row r="15" spans="1:8" x14ac:dyDescent="0.2">
      <c r="A15" s="9">
        <v>2048</v>
      </c>
      <c r="B15">
        <v>7.61</v>
      </c>
      <c r="C15" s="2">
        <v>0.87150000000000005</v>
      </c>
      <c r="D15" s="2">
        <v>9.5999999999999992E-3</v>
      </c>
      <c r="E15" s="2">
        <v>0.11890000000000001</v>
      </c>
      <c r="F15">
        <v>11108151.203</v>
      </c>
      <c r="G15" s="8"/>
    </row>
    <row r="16" spans="1:8" x14ac:dyDescent="0.2">
      <c r="A16" s="9">
        <v>4096</v>
      </c>
      <c r="B16">
        <v>15</v>
      </c>
      <c r="C16" s="2">
        <v>0.87109999999999999</v>
      </c>
      <c r="D16" s="2">
        <v>9.2999999999999992E-3</v>
      </c>
      <c r="E16" s="2">
        <v>0.1197</v>
      </c>
      <c r="F16">
        <v>11278118.041999999</v>
      </c>
      <c r="G16" s="8"/>
    </row>
    <row r="17" spans="1:8" x14ac:dyDescent="0.2">
      <c r="A17" s="9">
        <v>256</v>
      </c>
      <c r="B17">
        <v>0.93</v>
      </c>
      <c r="C17" s="2">
        <v>0.87</v>
      </c>
      <c r="D17" s="2">
        <v>9.1999999999999998E-3</v>
      </c>
      <c r="E17" s="2">
        <v>0.1208</v>
      </c>
      <c r="F17">
        <v>11365496.762</v>
      </c>
      <c r="G17" s="8" t="s">
        <v>0</v>
      </c>
    </row>
    <row r="18" spans="1:8" x14ac:dyDescent="0.2">
      <c r="A18" s="9">
        <v>512</v>
      </c>
      <c r="B18">
        <v>1.86</v>
      </c>
      <c r="C18" s="2">
        <v>0.871</v>
      </c>
      <c r="D18" s="2">
        <v>9.1000000000000004E-3</v>
      </c>
      <c r="E18" s="2">
        <v>0.12</v>
      </c>
      <c r="F18">
        <v>11375851.905999999</v>
      </c>
      <c r="G18" s="8"/>
    </row>
    <row r="19" spans="1:8" x14ac:dyDescent="0.2">
      <c r="A19" s="9">
        <v>1024</v>
      </c>
      <c r="B19">
        <v>3.71</v>
      </c>
      <c r="C19" s="2">
        <v>0.87039999999999995</v>
      </c>
      <c r="D19" s="2">
        <v>9.1000000000000004E-3</v>
      </c>
      <c r="E19" s="2">
        <v>0.1205</v>
      </c>
      <c r="F19">
        <v>11408212.227</v>
      </c>
      <c r="G19" s="8"/>
    </row>
    <row r="20" spans="1:8" x14ac:dyDescent="0.2">
      <c r="A20" s="9">
        <v>2048</v>
      </c>
      <c r="B20">
        <v>7.48</v>
      </c>
      <c r="C20" s="2">
        <v>0.87070000000000003</v>
      </c>
      <c r="D20" s="2">
        <v>9.1999999999999998E-3</v>
      </c>
      <c r="E20" s="2">
        <v>0.1201</v>
      </c>
      <c r="F20">
        <v>11314691.904999999</v>
      </c>
      <c r="G20" s="8"/>
    </row>
    <row r="21" spans="1:8" x14ac:dyDescent="0.2">
      <c r="A21" s="9">
        <v>4096</v>
      </c>
      <c r="B21">
        <v>15.04</v>
      </c>
      <c r="C21" s="2">
        <v>0.87050000000000005</v>
      </c>
      <c r="D21" s="2">
        <v>9.2999999999999992E-3</v>
      </c>
      <c r="E21" s="2">
        <v>0.1202</v>
      </c>
      <c r="F21">
        <v>11255448.211999999</v>
      </c>
      <c r="G21" s="8"/>
    </row>
    <row r="22" spans="1:8" x14ac:dyDescent="0.2">
      <c r="A22" s="9">
        <v>256</v>
      </c>
      <c r="B22">
        <v>0.93</v>
      </c>
      <c r="C22" s="2">
        <v>0.87019999999999997</v>
      </c>
      <c r="D22" s="2">
        <v>8.9999999999999993E-3</v>
      </c>
      <c r="E22" s="2">
        <v>0.1208</v>
      </c>
      <c r="F22">
        <v>11399878.017999999</v>
      </c>
      <c r="G22" s="8" t="s">
        <v>0</v>
      </c>
    </row>
    <row r="23" spans="1:8" x14ac:dyDescent="0.2">
      <c r="A23" s="9">
        <v>512</v>
      </c>
      <c r="B23">
        <v>1.88</v>
      </c>
      <c r="C23" s="2">
        <v>0.86950000000000005</v>
      </c>
      <c r="D23" s="2">
        <v>9.2999999999999992E-3</v>
      </c>
      <c r="E23" s="2">
        <v>0.1212</v>
      </c>
      <c r="F23">
        <v>11273346.708000001</v>
      </c>
      <c r="G23" s="8"/>
    </row>
    <row r="24" spans="1:8" x14ac:dyDescent="0.2">
      <c r="A24" s="9">
        <v>1024</v>
      </c>
      <c r="B24">
        <v>3.73</v>
      </c>
      <c r="C24" s="2">
        <v>0.86990000000000001</v>
      </c>
      <c r="D24" s="2">
        <v>9.1999999999999998E-3</v>
      </c>
      <c r="E24" s="2">
        <v>0.12089999999999999</v>
      </c>
      <c r="F24">
        <v>11343394.716</v>
      </c>
      <c r="G24" s="8"/>
    </row>
    <row r="25" spans="1:8" x14ac:dyDescent="0.2">
      <c r="A25" s="9">
        <v>2048</v>
      </c>
      <c r="B25">
        <v>7.49</v>
      </c>
      <c r="C25" s="2">
        <v>0.86939999999999995</v>
      </c>
      <c r="D25" s="2">
        <v>9.1999999999999998E-3</v>
      </c>
      <c r="E25" s="2">
        <v>0.12139999999999999</v>
      </c>
      <c r="F25">
        <v>11318372.233999999</v>
      </c>
      <c r="G25" s="8"/>
    </row>
    <row r="26" spans="1:8" ht="17" thickBot="1" x14ac:dyDescent="0.25">
      <c r="A26" s="10">
        <v>4096</v>
      </c>
      <c r="B26" s="11">
        <v>15.29</v>
      </c>
      <c r="C26" s="12">
        <v>0.86950000000000005</v>
      </c>
      <c r="D26" s="12">
        <v>9.4999999999999998E-3</v>
      </c>
      <c r="E26" s="12">
        <v>0.121</v>
      </c>
      <c r="F26" s="11">
        <v>11079977.151000001</v>
      </c>
      <c r="G26" s="13"/>
    </row>
    <row r="28" spans="1:8" ht="17" thickBot="1" x14ac:dyDescent="0.25">
      <c r="A28" s="1"/>
    </row>
    <row r="29" spans="1:8" ht="17" thickBot="1" x14ac:dyDescent="0.25">
      <c r="A29" s="23" t="s">
        <v>6</v>
      </c>
      <c r="B29" s="4" t="s">
        <v>5</v>
      </c>
      <c r="C29" s="19" t="s">
        <v>4</v>
      </c>
      <c r="D29" s="19" t="s">
        <v>3</v>
      </c>
      <c r="E29" s="19" t="s">
        <v>2</v>
      </c>
      <c r="F29" s="4" t="s">
        <v>1</v>
      </c>
      <c r="G29" s="6" t="s">
        <v>48</v>
      </c>
      <c r="H29" t="s">
        <v>46</v>
      </c>
    </row>
    <row r="30" spans="1:8" x14ac:dyDescent="0.2">
      <c r="A30" s="9">
        <v>4096</v>
      </c>
      <c r="B30">
        <v>14.7</v>
      </c>
      <c r="C30" s="2">
        <v>0.86980000000000002</v>
      </c>
      <c r="D30" s="2">
        <v>9.1000000000000004E-3</v>
      </c>
      <c r="E30" s="2">
        <v>0.1211</v>
      </c>
      <c r="F30">
        <v>11525586.272</v>
      </c>
      <c r="G30" s="8">
        <v>29</v>
      </c>
    </row>
    <row r="31" spans="1:8" x14ac:dyDescent="0.2">
      <c r="A31" s="9">
        <v>4096</v>
      </c>
      <c r="B31">
        <v>14.95</v>
      </c>
      <c r="C31" s="2">
        <v>0.87090000000000001</v>
      </c>
      <c r="D31" s="2">
        <v>9.2999999999999992E-3</v>
      </c>
      <c r="E31" s="2">
        <v>0.1198</v>
      </c>
      <c r="F31">
        <v>11316039.934</v>
      </c>
      <c r="G31" s="8">
        <v>30</v>
      </c>
    </row>
    <row r="32" spans="1:8" x14ac:dyDescent="0.2">
      <c r="A32" s="9">
        <v>4096</v>
      </c>
      <c r="B32">
        <v>15</v>
      </c>
      <c r="C32" s="2">
        <v>0.87109999999999999</v>
      </c>
      <c r="D32" s="2">
        <v>9.2999999999999992E-3</v>
      </c>
      <c r="E32" s="2">
        <v>0.1197</v>
      </c>
      <c r="F32">
        <v>11278118.041999999</v>
      </c>
      <c r="G32" s="8">
        <v>31</v>
      </c>
    </row>
    <row r="33" spans="1:8" x14ac:dyDescent="0.2">
      <c r="A33" s="9">
        <v>4096</v>
      </c>
      <c r="B33">
        <v>15.04</v>
      </c>
      <c r="C33" s="2">
        <v>0.87050000000000005</v>
      </c>
      <c r="D33" s="2">
        <v>9.2999999999999992E-3</v>
      </c>
      <c r="E33" s="2">
        <v>0.1202</v>
      </c>
      <c r="F33">
        <v>11255448.211999999</v>
      </c>
      <c r="G33" s="8">
        <v>30</v>
      </c>
    </row>
    <row r="34" spans="1:8" ht="17" thickBot="1" x14ac:dyDescent="0.25">
      <c r="A34" s="10">
        <v>4096</v>
      </c>
      <c r="B34" s="11">
        <v>15.29</v>
      </c>
      <c r="C34" s="12">
        <v>0.86950000000000005</v>
      </c>
      <c r="D34" s="12">
        <v>9.4999999999999998E-3</v>
      </c>
      <c r="E34" s="12">
        <v>0.121</v>
      </c>
      <c r="F34" s="11">
        <v>11079977.151000001</v>
      </c>
      <c r="G34" s="13">
        <v>30</v>
      </c>
    </row>
    <row r="35" spans="1:8" x14ac:dyDescent="0.2">
      <c r="A35" s="16" t="s">
        <v>47</v>
      </c>
      <c r="B35" s="17">
        <f>AVERAGE(B30:B34)</f>
        <v>14.995999999999999</v>
      </c>
      <c r="C35" s="18">
        <f t="shared" ref="C35:G35" si="0">AVERAGE(C30:C34)</f>
        <v>0.87036000000000002</v>
      </c>
      <c r="D35" s="18">
        <f t="shared" si="0"/>
        <v>9.2999999999999992E-3</v>
      </c>
      <c r="E35" s="18">
        <f t="shared" si="0"/>
        <v>0.12035999999999999</v>
      </c>
      <c r="F35" s="17">
        <f t="shared" si="0"/>
        <v>11291033.922199998</v>
      </c>
      <c r="G35" s="17">
        <f t="shared" si="0"/>
        <v>30</v>
      </c>
    </row>
    <row r="36" spans="1:8" x14ac:dyDescent="0.2">
      <c r="A36" s="20" t="s">
        <v>49</v>
      </c>
      <c r="B36" s="21">
        <f>STDEV(B30:B34)</f>
        <v>0.21102132593650336</v>
      </c>
      <c r="C36" s="22">
        <f t="shared" ref="C36:G36" si="1">STDEV(C30:C34)</f>
        <v>6.913754406977251E-4</v>
      </c>
      <c r="D36" s="22">
        <f t="shared" si="1"/>
        <v>1.4142135623730926E-4</v>
      </c>
      <c r="E36" s="22">
        <f t="shared" si="1"/>
        <v>6.5802735505448185E-4</v>
      </c>
      <c r="F36" s="21">
        <f t="shared" si="1"/>
        <v>159388.0710906492</v>
      </c>
      <c r="G36" s="21">
        <f t="shared" si="1"/>
        <v>0.70710678118654757</v>
      </c>
    </row>
    <row r="38" spans="1:8" ht="17" thickBot="1" x14ac:dyDescent="0.25"/>
    <row r="39" spans="1:8" ht="17" thickBot="1" x14ac:dyDescent="0.25">
      <c r="A39" s="23" t="s">
        <v>6</v>
      </c>
      <c r="B39" s="4" t="s">
        <v>5</v>
      </c>
      <c r="C39" s="19" t="s">
        <v>4</v>
      </c>
      <c r="D39" s="19" t="s">
        <v>3</v>
      </c>
      <c r="E39" s="19" t="s">
        <v>2</v>
      </c>
      <c r="F39" s="4" t="s">
        <v>1</v>
      </c>
      <c r="G39" s="6" t="s">
        <v>48</v>
      </c>
      <c r="H39" s="2" t="s">
        <v>50</v>
      </c>
    </row>
    <row r="40" spans="1:8" x14ac:dyDescent="0.2">
      <c r="A40" s="9">
        <v>4096</v>
      </c>
      <c r="B40">
        <f>IF(ABS(B30-B$35) &lt;= 3*B$36,B30,"")</f>
        <v>14.7</v>
      </c>
      <c r="C40" s="2">
        <f t="shared" ref="C40:G40" si="2">IF(ABS(C30-C$35) &lt;= 3*C$36,C30,"")</f>
        <v>0.86980000000000002</v>
      </c>
      <c r="D40" s="2">
        <f t="shared" si="2"/>
        <v>9.1000000000000004E-3</v>
      </c>
      <c r="E40" s="2">
        <f t="shared" si="2"/>
        <v>0.1211</v>
      </c>
      <c r="F40">
        <f t="shared" si="2"/>
        <v>11525586.272</v>
      </c>
      <c r="G40" s="8">
        <f t="shared" si="2"/>
        <v>29</v>
      </c>
    </row>
    <row r="41" spans="1:8" x14ac:dyDescent="0.2">
      <c r="A41" s="9">
        <v>4096</v>
      </c>
      <c r="B41">
        <f>IF(ABS(B31-B$35) &lt;= 3*B$36,B31,"")</f>
        <v>14.95</v>
      </c>
      <c r="C41" s="2">
        <f>IF(ABS(C31-C$35) &lt;= 3*C$36,C31,"")</f>
        <v>0.87090000000000001</v>
      </c>
      <c r="D41" s="2">
        <f>IF(ABS(D31-D$35) &lt;= 3*D$36,D31,"")</f>
        <v>9.2999999999999992E-3</v>
      </c>
      <c r="E41" s="2">
        <f>IF(ABS(E31-E$35) &lt;= 3*E$36,E31,"")</f>
        <v>0.1198</v>
      </c>
      <c r="F41">
        <f t="shared" ref="F41:G41" si="3">IF(ABS(F31-F$35) &lt;= 3*F$36,F31,"")</f>
        <v>11316039.934</v>
      </c>
      <c r="G41" s="8">
        <f t="shared" si="3"/>
        <v>30</v>
      </c>
    </row>
    <row r="42" spans="1:8" x14ac:dyDescent="0.2">
      <c r="A42" s="9">
        <v>4096</v>
      </c>
      <c r="B42">
        <f t="shared" ref="B42:G42" si="4">IF(ABS(B32-B$35) &lt;= 3*B$36,B32,"")</f>
        <v>15</v>
      </c>
      <c r="C42" s="2">
        <f t="shared" si="4"/>
        <v>0.87109999999999999</v>
      </c>
      <c r="D42" s="2">
        <f t="shared" si="4"/>
        <v>9.2999999999999992E-3</v>
      </c>
      <c r="E42" s="2">
        <f t="shared" si="4"/>
        <v>0.1197</v>
      </c>
      <c r="F42">
        <f t="shared" si="4"/>
        <v>11278118.041999999</v>
      </c>
      <c r="G42" s="8">
        <f t="shared" si="4"/>
        <v>31</v>
      </c>
    </row>
    <row r="43" spans="1:8" x14ac:dyDescent="0.2">
      <c r="A43" s="9">
        <v>4096</v>
      </c>
      <c r="B43">
        <f>IF(ABS(B33-B$35) &lt;= 3*B$36,B33,"")</f>
        <v>15.04</v>
      </c>
      <c r="C43" s="2">
        <f t="shared" ref="C43:G43" si="5">IF(ABS(C33-C$35) &lt;= 3*C$36,C33,"")</f>
        <v>0.87050000000000005</v>
      </c>
      <c r="D43" s="2">
        <f t="shared" si="5"/>
        <v>9.2999999999999992E-3</v>
      </c>
      <c r="E43" s="2">
        <f t="shared" si="5"/>
        <v>0.1202</v>
      </c>
      <c r="F43">
        <f t="shared" si="5"/>
        <v>11255448.211999999</v>
      </c>
      <c r="G43" s="8">
        <f t="shared" si="5"/>
        <v>30</v>
      </c>
    </row>
    <row r="44" spans="1:8" ht="17" thickBot="1" x14ac:dyDescent="0.25">
      <c r="A44" s="10">
        <v>4096</v>
      </c>
      <c r="B44" s="11">
        <f>IF(ABS(B34-B$35) &lt;= 3*B$36,B34,"")</f>
        <v>15.29</v>
      </c>
      <c r="C44" s="12">
        <f t="shared" ref="C44:G44" si="6">IF(ABS(C34-C$35) &lt;= 3*C$36,C34,"")</f>
        <v>0.86950000000000005</v>
      </c>
      <c r="D44" s="12">
        <f t="shared" si="6"/>
        <v>9.4999999999999998E-3</v>
      </c>
      <c r="E44" s="12">
        <f t="shared" si="6"/>
        <v>0.121</v>
      </c>
      <c r="F44" s="11">
        <f t="shared" si="6"/>
        <v>11079977.151000001</v>
      </c>
      <c r="G44" s="13">
        <f t="shared" si="6"/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0369-72F3-D348-B583-3DE93C64894B}">
  <dimension ref="A1:R42"/>
  <sheetViews>
    <sheetView topLeftCell="A21" workbookViewId="0">
      <selection activeCell="P44" sqref="P44:Q47"/>
    </sheetView>
  </sheetViews>
  <sheetFormatPr baseColWidth="10" defaultRowHeight="16" x14ac:dyDescent="0.2"/>
  <cols>
    <col min="1" max="1" width="11.6640625" customWidth="1"/>
    <col min="4" max="6" width="10.83203125" style="2"/>
    <col min="7" max="8" width="13" customWidth="1"/>
    <col min="13" max="15" width="10.83203125" style="2"/>
    <col min="17" max="17" width="14" customWidth="1"/>
  </cols>
  <sheetData>
    <row r="1" spans="1:18" s="4" customFormat="1" ht="17" thickBot="1" x14ac:dyDescent="0.25">
      <c r="A1" s="3" t="s">
        <v>11</v>
      </c>
      <c r="B1" s="4" t="s">
        <v>6</v>
      </c>
      <c r="C1" s="4" t="s">
        <v>5</v>
      </c>
      <c r="D1" s="19" t="s">
        <v>4</v>
      </c>
      <c r="E1" s="19" t="s">
        <v>3</v>
      </c>
      <c r="F1" s="19" t="s">
        <v>2</v>
      </c>
      <c r="G1" s="4" t="s">
        <v>1</v>
      </c>
      <c r="H1" s="4" t="s">
        <v>42</v>
      </c>
      <c r="J1" s="5" t="s">
        <v>11</v>
      </c>
      <c r="K1" s="4" t="s">
        <v>6</v>
      </c>
      <c r="L1" s="4" t="s">
        <v>5</v>
      </c>
      <c r="M1" s="19" t="s">
        <v>4</v>
      </c>
      <c r="N1" s="19" t="s">
        <v>3</v>
      </c>
      <c r="O1" s="19" t="s">
        <v>2</v>
      </c>
      <c r="P1" s="4" t="s">
        <v>1</v>
      </c>
      <c r="Q1" s="6" t="s">
        <v>42</v>
      </c>
    </row>
    <row r="2" spans="1:18" x14ac:dyDescent="0.2">
      <c r="A2" s="7">
        <v>19</v>
      </c>
      <c r="B2">
        <v>128</v>
      </c>
      <c r="C2">
        <v>0.7</v>
      </c>
      <c r="D2" s="2">
        <v>0.873</v>
      </c>
      <c r="E2" s="2">
        <v>2.2200000000000001E-2</v>
      </c>
      <c r="F2" s="2">
        <v>0.1048</v>
      </c>
      <c r="G2">
        <v>7395175.8990000002</v>
      </c>
      <c r="H2" t="s">
        <v>18</v>
      </c>
      <c r="J2" t="s">
        <v>10</v>
      </c>
      <c r="K2">
        <v>128</v>
      </c>
      <c r="L2">
        <v>0.8</v>
      </c>
      <c r="M2" s="2">
        <v>0.88480000000000003</v>
      </c>
      <c r="N2" s="2">
        <v>1.03E-2</v>
      </c>
      <c r="O2" s="2">
        <v>0.105</v>
      </c>
      <c r="P2">
        <v>6477449.7050000001</v>
      </c>
      <c r="Q2" s="8" t="s">
        <v>9</v>
      </c>
      <c r="R2" t="s">
        <v>45</v>
      </c>
    </row>
    <row r="3" spans="1:18" x14ac:dyDescent="0.2">
      <c r="A3" s="9"/>
      <c r="B3">
        <v>256</v>
      </c>
      <c r="C3">
        <v>1.49</v>
      </c>
      <c r="D3" s="2">
        <v>0.86209999999999998</v>
      </c>
      <c r="E3" s="2">
        <v>3.6299999999999999E-2</v>
      </c>
      <c r="F3" s="2">
        <v>0.1016</v>
      </c>
      <c r="G3">
        <v>6972190.3669999996</v>
      </c>
      <c r="K3">
        <v>256</v>
      </c>
      <c r="L3">
        <v>1.65</v>
      </c>
      <c r="M3" s="2">
        <v>0.88470000000000004</v>
      </c>
      <c r="N3" s="2">
        <v>1.0200000000000001E-2</v>
      </c>
      <c r="O3" s="2">
        <v>0.1051</v>
      </c>
      <c r="P3">
        <v>6317156.8130000001</v>
      </c>
      <c r="Q3" s="8"/>
    </row>
    <row r="4" spans="1:18" x14ac:dyDescent="0.2">
      <c r="A4" s="9"/>
      <c r="B4">
        <v>512</v>
      </c>
      <c r="C4">
        <v>3.24</v>
      </c>
      <c r="D4" s="2">
        <v>0.86650000000000005</v>
      </c>
      <c r="E4" s="2">
        <v>3.09E-2</v>
      </c>
      <c r="F4" s="2">
        <v>0.1026</v>
      </c>
      <c r="G4">
        <v>6407915.1670000004</v>
      </c>
      <c r="K4">
        <v>512</v>
      </c>
      <c r="L4">
        <v>3.3</v>
      </c>
      <c r="M4" s="2">
        <v>0.88419999999999999</v>
      </c>
      <c r="N4" s="2">
        <v>1.04E-2</v>
      </c>
      <c r="O4" s="2">
        <v>0.10539999999999999</v>
      </c>
      <c r="P4">
        <v>6300359.1100000003</v>
      </c>
      <c r="Q4" s="8"/>
    </row>
    <row r="5" spans="1:18" x14ac:dyDescent="0.2">
      <c r="A5" s="9"/>
      <c r="B5">
        <v>1024</v>
      </c>
      <c r="C5">
        <v>6.29</v>
      </c>
      <c r="D5" s="2">
        <v>0.8569</v>
      </c>
      <c r="E5" s="2">
        <v>4.1399999999999999E-2</v>
      </c>
      <c r="F5" s="2">
        <v>0.1018</v>
      </c>
      <c r="G5">
        <v>6593865.9610000001</v>
      </c>
      <c r="K5">
        <v>1024</v>
      </c>
      <c r="L5">
        <v>6.55</v>
      </c>
      <c r="M5" s="2">
        <v>0.88429999999999997</v>
      </c>
      <c r="N5" s="2">
        <v>1.03E-2</v>
      </c>
      <c r="O5" s="2">
        <v>0.10539999999999999</v>
      </c>
      <c r="P5">
        <v>6356627.0779999997</v>
      </c>
      <c r="Q5" s="8"/>
    </row>
    <row r="6" spans="1:18" x14ac:dyDescent="0.2">
      <c r="A6" s="9"/>
      <c r="B6">
        <v>2048</v>
      </c>
      <c r="C6">
        <v>12.61</v>
      </c>
      <c r="D6" s="2">
        <v>0.85829999999999995</v>
      </c>
      <c r="E6" s="2">
        <v>3.9800000000000002E-2</v>
      </c>
      <c r="F6" s="2">
        <v>0.1019</v>
      </c>
      <c r="G6">
        <v>6577143.4239999996</v>
      </c>
      <c r="K6">
        <v>2048</v>
      </c>
      <c r="L6">
        <v>13.07</v>
      </c>
      <c r="M6" s="2">
        <v>0.88419999999999999</v>
      </c>
      <c r="N6" s="2">
        <v>1.03E-2</v>
      </c>
      <c r="O6" s="2">
        <v>0.1055</v>
      </c>
      <c r="P6">
        <v>6370905.1490000002</v>
      </c>
      <c r="Q6" s="8"/>
    </row>
    <row r="7" spans="1:18" x14ac:dyDescent="0.2">
      <c r="A7" s="7" t="s">
        <v>43</v>
      </c>
      <c r="B7">
        <v>128</v>
      </c>
      <c r="C7">
        <v>0.8</v>
      </c>
      <c r="D7" s="2">
        <v>0.8528</v>
      </c>
      <c r="E7" s="2">
        <v>4.5999999999999999E-2</v>
      </c>
      <c r="F7" s="2">
        <v>0.1011</v>
      </c>
      <c r="G7">
        <v>6457873.9890000001</v>
      </c>
      <c r="H7" t="s">
        <v>17</v>
      </c>
      <c r="J7" s="1">
        <v>-20</v>
      </c>
      <c r="K7">
        <v>128</v>
      </c>
      <c r="L7">
        <v>0.69</v>
      </c>
      <c r="M7" s="2">
        <v>0.88400000000000001</v>
      </c>
      <c r="N7" s="2">
        <v>1.01E-2</v>
      </c>
      <c r="O7" s="2">
        <v>0.10589999999999999</v>
      </c>
      <c r="P7">
        <v>7567216.0149999997</v>
      </c>
      <c r="Q7" s="8" t="s">
        <v>16</v>
      </c>
    </row>
    <row r="8" spans="1:18" x14ac:dyDescent="0.2">
      <c r="A8" s="9"/>
      <c r="B8">
        <v>256</v>
      </c>
      <c r="C8">
        <v>1.59</v>
      </c>
      <c r="D8" s="2">
        <v>0.85580000000000001</v>
      </c>
      <c r="E8" s="2">
        <v>4.2200000000000001E-2</v>
      </c>
      <c r="F8" s="2">
        <v>0.10199999999999999</v>
      </c>
      <c r="G8">
        <v>6533302.9179999996</v>
      </c>
      <c r="K8">
        <v>256</v>
      </c>
      <c r="L8">
        <v>1.4</v>
      </c>
      <c r="M8" s="2">
        <v>0.88400000000000001</v>
      </c>
      <c r="N8" s="2">
        <v>1.0500000000000001E-2</v>
      </c>
      <c r="O8" s="2">
        <v>0.1055</v>
      </c>
      <c r="P8">
        <v>7459065.1969999997</v>
      </c>
      <c r="Q8" s="8"/>
    </row>
    <row r="9" spans="1:18" x14ac:dyDescent="0.2">
      <c r="A9" s="9"/>
      <c r="B9">
        <v>512</v>
      </c>
      <c r="C9">
        <v>3.14</v>
      </c>
      <c r="D9" s="2">
        <v>0.86209999999999998</v>
      </c>
      <c r="E9" s="2">
        <v>3.5099999999999999E-2</v>
      </c>
      <c r="F9" s="2">
        <v>0.1028</v>
      </c>
      <c r="G9">
        <v>6600335.8969999999</v>
      </c>
      <c r="K9">
        <v>512</v>
      </c>
      <c r="L9">
        <v>2.81</v>
      </c>
      <c r="M9" s="2">
        <v>0.88429999999999997</v>
      </c>
      <c r="N9" s="2">
        <v>1.04E-2</v>
      </c>
      <c r="O9" s="2">
        <v>0.1053</v>
      </c>
      <c r="P9">
        <v>7393208.1830000002</v>
      </c>
      <c r="Q9" s="8"/>
    </row>
    <row r="10" spans="1:18" x14ac:dyDescent="0.2">
      <c r="A10" s="9"/>
      <c r="B10">
        <v>1024</v>
      </c>
      <c r="C10">
        <v>6.54</v>
      </c>
      <c r="D10" s="2">
        <v>0.86009999999999998</v>
      </c>
      <c r="E10" s="2">
        <v>3.8300000000000001E-2</v>
      </c>
      <c r="F10" s="2">
        <v>0.1016</v>
      </c>
      <c r="G10">
        <v>6341522.7359999996</v>
      </c>
      <c r="K10">
        <v>1024</v>
      </c>
      <c r="L10">
        <v>5.65</v>
      </c>
      <c r="M10" s="2">
        <v>0.8841</v>
      </c>
      <c r="N10" s="2">
        <v>1.0500000000000001E-2</v>
      </c>
      <c r="O10" s="2">
        <v>0.10539999999999999</v>
      </c>
      <c r="P10">
        <v>7372197.0860000001</v>
      </c>
      <c r="Q10" s="8"/>
    </row>
    <row r="11" spans="1:18" x14ac:dyDescent="0.2">
      <c r="A11" s="9"/>
      <c r="B11">
        <v>2048</v>
      </c>
      <c r="C11">
        <v>12.54</v>
      </c>
      <c r="D11" s="2">
        <v>0.8679</v>
      </c>
      <c r="E11" s="2">
        <v>3.09E-2</v>
      </c>
      <c r="F11" s="2">
        <v>0.1012</v>
      </c>
      <c r="G11">
        <v>6604976.1050000004</v>
      </c>
      <c r="K11">
        <v>2048</v>
      </c>
      <c r="L11">
        <v>11.35</v>
      </c>
      <c r="M11" s="2">
        <v>0.88400000000000001</v>
      </c>
      <c r="N11" s="2">
        <v>1.06E-2</v>
      </c>
      <c r="O11" s="2">
        <v>0.10539999999999999</v>
      </c>
      <c r="P11">
        <v>7335913.4289999995</v>
      </c>
      <c r="Q11" s="8"/>
    </row>
    <row r="12" spans="1:18" x14ac:dyDescent="0.2">
      <c r="A12" s="7" t="s">
        <v>43</v>
      </c>
      <c r="B12">
        <v>128</v>
      </c>
      <c r="C12">
        <v>0.74</v>
      </c>
      <c r="D12" s="2">
        <v>0.86319999999999997</v>
      </c>
      <c r="E12" s="2">
        <v>3.5499999999999997E-2</v>
      </c>
      <c r="F12" s="2">
        <v>0.1013</v>
      </c>
      <c r="G12">
        <v>6999069.1129999999</v>
      </c>
      <c r="H12" t="s">
        <v>15</v>
      </c>
      <c r="J12" s="1" t="s">
        <v>44</v>
      </c>
      <c r="K12">
        <v>128</v>
      </c>
      <c r="L12">
        <v>0.79</v>
      </c>
      <c r="M12" s="2">
        <v>0.88329999999999997</v>
      </c>
      <c r="N12" s="2">
        <v>1.0200000000000001E-2</v>
      </c>
      <c r="O12" s="2">
        <v>0.10639999999999999</v>
      </c>
      <c r="P12">
        <v>6575435.3640000001</v>
      </c>
      <c r="Q12" s="8" t="s">
        <v>13</v>
      </c>
    </row>
    <row r="13" spans="1:18" x14ac:dyDescent="0.2">
      <c r="A13" s="9"/>
      <c r="B13">
        <v>256</v>
      </c>
      <c r="C13">
        <v>1.5</v>
      </c>
      <c r="D13" s="2">
        <v>0.872</v>
      </c>
      <c r="E13" s="2">
        <v>3.1199999999999999E-2</v>
      </c>
      <c r="F13" s="2">
        <v>9.6799999999999997E-2</v>
      </c>
      <c r="G13">
        <v>6869789.9019999998</v>
      </c>
      <c r="K13">
        <v>256</v>
      </c>
      <c r="L13">
        <v>1.62</v>
      </c>
      <c r="M13" s="2">
        <v>0.88319999999999999</v>
      </c>
      <c r="N13" s="2">
        <v>1.01E-2</v>
      </c>
      <c r="O13" s="2">
        <v>0.1067</v>
      </c>
      <c r="P13">
        <v>6436688.7719999999</v>
      </c>
      <c r="Q13" s="8"/>
    </row>
    <row r="14" spans="1:18" x14ac:dyDescent="0.2">
      <c r="A14" s="9"/>
      <c r="B14">
        <v>512</v>
      </c>
      <c r="C14">
        <v>2.95</v>
      </c>
      <c r="D14" s="2">
        <v>0.86229999999999996</v>
      </c>
      <c r="E14" s="2">
        <v>3.7699999999999997E-2</v>
      </c>
      <c r="F14" s="2">
        <v>0.10009999999999999</v>
      </c>
      <c r="G14">
        <v>7021754.0130000003</v>
      </c>
      <c r="K14">
        <v>512</v>
      </c>
      <c r="L14">
        <v>3.26</v>
      </c>
      <c r="M14" s="2">
        <v>0.88339999999999996</v>
      </c>
      <c r="N14" s="2">
        <v>1.01E-2</v>
      </c>
      <c r="O14" s="2">
        <v>0.10639999999999999</v>
      </c>
      <c r="P14">
        <v>6382339.2980000004</v>
      </c>
      <c r="Q14" s="8"/>
    </row>
    <row r="15" spans="1:18" x14ac:dyDescent="0.2">
      <c r="A15" s="9"/>
      <c r="B15">
        <v>1024</v>
      </c>
      <c r="C15">
        <v>6.07</v>
      </c>
      <c r="D15" s="2">
        <v>0.85750000000000004</v>
      </c>
      <c r="E15" s="2">
        <v>4.1200000000000001E-2</v>
      </c>
      <c r="F15" s="2">
        <v>0.1013</v>
      </c>
      <c r="G15">
        <v>6824802.1720000003</v>
      </c>
      <c r="K15">
        <v>1024</v>
      </c>
      <c r="L15">
        <v>6.49</v>
      </c>
      <c r="M15" s="2">
        <v>0.88300000000000001</v>
      </c>
      <c r="N15" s="2">
        <v>1.03E-2</v>
      </c>
      <c r="O15" s="2">
        <v>0.1067</v>
      </c>
      <c r="P15">
        <v>6418515.4579999996</v>
      </c>
      <c r="Q15" s="8"/>
    </row>
    <row r="16" spans="1:18" x14ac:dyDescent="0.2">
      <c r="A16" s="9"/>
      <c r="B16">
        <v>2048</v>
      </c>
      <c r="C16">
        <v>12.6</v>
      </c>
      <c r="D16" s="2">
        <v>0.86140000000000005</v>
      </c>
      <c r="E16" s="2">
        <v>3.6999999999999998E-2</v>
      </c>
      <c r="F16" s="2">
        <v>0.1017</v>
      </c>
      <c r="G16">
        <v>6577224.1739999996</v>
      </c>
      <c r="K16">
        <v>2048</v>
      </c>
      <c r="L16">
        <v>13.78</v>
      </c>
      <c r="M16" s="2">
        <v>0.8831</v>
      </c>
      <c r="N16" s="2">
        <v>1.18E-2</v>
      </c>
      <c r="O16" s="2">
        <v>0.1051</v>
      </c>
      <c r="P16">
        <v>6039975.3779999996</v>
      </c>
      <c r="Q16" s="8"/>
    </row>
    <row r="17" spans="1:18" x14ac:dyDescent="0.2">
      <c r="A17" s="7" t="s">
        <v>43</v>
      </c>
      <c r="B17">
        <v>128</v>
      </c>
      <c r="C17">
        <v>0.79</v>
      </c>
      <c r="D17" s="2">
        <v>0.85780000000000001</v>
      </c>
      <c r="E17" s="2">
        <v>3.9600000000000003E-2</v>
      </c>
      <c r="F17" s="2">
        <v>0.1026</v>
      </c>
      <c r="G17">
        <v>6600249.3130000001</v>
      </c>
      <c r="H17" t="s">
        <v>14</v>
      </c>
      <c r="J17" s="1" t="s">
        <v>44</v>
      </c>
      <c r="K17">
        <v>128</v>
      </c>
      <c r="L17">
        <v>0.82</v>
      </c>
      <c r="M17" s="2">
        <v>0.88390000000000002</v>
      </c>
      <c r="N17" s="2">
        <v>1.0500000000000001E-2</v>
      </c>
      <c r="O17" s="2">
        <v>0.1055</v>
      </c>
      <c r="P17">
        <v>6352183.9179999996</v>
      </c>
      <c r="Q17" s="8" t="s">
        <v>13</v>
      </c>
    </row>
    <row r="18" spans="1:18" x14ac:dyDescent="0.2">
      <c r="A18" s="9"/>
      <c r="B18">
        <v>256</v>
      </c>
      <c r="C18">
        <v>1.59</v>
      </c>
      <c r="D18" s="2">
        <v>0.85799999999999998</v>
      </c>
      <c r="E18" s="2">
        <v>3.9800000000000002E-2</v>
      </c>
      <c r="F18" s="2">
        <v>0.1022</v>
      </c>
      <c r="G18">
        <v>6539416.7319999998</v>
      </c>
      <c r="K18">
        <v>256</v>
      </c>
      <c r="L18">
        <v>1.66</v>
      </c>
      <c r="M18" s="2">
        <v>0.88380000000000003</v>
      </c>
      <c r="N18" s="2">
        <v>1.01E-2</v>
      </c>
      <c r="O18" s="2">
        <v>0.1061</v>
      </c>
      <c r="P18">
        <v>6254382.6289999997</v>
      </c>
      <c r="Q18" s="8"/>
    </row>
    <row r="19" spans="1:18" x14ac:dyDescent="0.2">
      <c r="A19" s="9"/>
      <c r="B19">
        <v>512</v>
      </c>
      <c r="C19">
        <v>3.22</v>
      </c>
      <c r="D19" s="2">
        <v>0.85709999999999997</v>
      </c>
      <c r="E19" s="2">
        <v>4.1099999999999998E-2</v>
      </c>
      <c r="F19" s="2">
        <v>0.1017</v>
      </c>
      <c r="G19">
        <v>6434446.2309999997</v>
      </c>
      <c r="K19">
        <v>512</v>
      </c>
      <c r="L19">
        <v>3.3</v>
      </c>
      <c r="M19" s="2">
        <v>0.88319999999999999</v>
      </c>
      <c r="N19" s="2">
        <v>1.0200000000000001E-2</v>
      </c>
      <c r="O19" s="2">
        <v>0.1066</v>
      </c>
      <c r="P19">
        <v>6305414.4479999999</v>
      </c>
      <c r="Q19" s="8"/>
    </row>
    <row r="20" spans="1:18" x14ac:dyDescent="0.2">
      <c r="A20" s="9"/>
      <c r="B20">
        <v>1024</v>
      </c>
      <c r="C20">
        <v>6.34</v>
      </c>
      <c r="D20" s="2">
        <v>0.85960000000000003</v>
      </c>
      <c r="E20" s="2">
        <v>3.7499999999999999E-2</v>
      </c>
      <c r="F20" s="2">
        <v>0.10290000000000001</v>
      </c>
      <c r="G20">
        <v>6547815.4479999999</v>
      </c>
      <c r="K20">
        <v>1024</v>
      </c>
      <c r="L20">
        <v>6.63</v>
      </c>
      <c r="M20" s="2">
        <v>0.88360000000000005</v>
      </c>
      <c r="N20" s="2">
        <v>1.0200000000000001E-2</v>
      </c>
      <c r="O20" s="2">
        <v>0.1061</v>
      </c>
      <c r="P20">
        <v>6286594.699</v>
      </c>
      <c r="Q20" s="8"/>
    </row>
    <row r="21" spans="1:18" x14ac:dyDescent="0.2">
      <c r="A21" s="9"/>
      <c r="B21">
        <v>2048</v>
      </c>
      <c r="C21">
        <v>12.71</v>
      </c>
      <c r="D21" s="2">
        <v>0.85799999999999998</v>
      </c>
      <c r="E21" s="2">
        <v>3.9399999999999998E-2</v>
      </c>
      <c r="F21" s="2">
        <v>0.10249999999999999</v>
      </c>
      <c r="G21">
        <v>6526680.4939999999</v>
      </c>
      <c r="K21">
        <v>2048</v>
      </c>
      <c r="L21">
        <v>13.14</v>
      </c>
      <c r="M21" s="2">
        <v>0.88329999999999997</v>
      </c>
      <c r="N21" s="2">
        <v>1.0200000000000001E-2</v>
      </c>
      <c r="O21" s="2">
        <v>0.1065</v>
      </c>
      <c r="P21">
        <v>6343882.5489999996</v>
      </c>
      <c r="Q21" s="8"/>
    </row>
    <row r="22" spans="1:18" x14ac:dyDescent="0.2">
      <c r="A22" s="7" t="s">
        <v>43</v>
      </c>
      <c r="B22">
        <v>128</v>
      </c>
      <c r="C22">
        <v>0.79</v>
      </c>
      <c r="D22" s="2">
        <v>0.85770000000000002</v>
      </c>
      <c r="E22" s="2">
        <v>3.9899999999999998E-2</v>
      </c>
      <c r="F22" s="2">
        <v>0.1024</v>
      </c>
      <c r="G22">
        <v>6557591.4019999998</v>
      </c>
      <c r="H22" t="s">
        <v>12</v>
      </c>
      <c r="J22" s="1" t="s">
        <v>44</v>
      </c>
      <c r="K22">
        <v>128</v>
      </c>
      <c r="L22">
        <v>0.78</v>
      </c>
      <c r="M22" s="2">
        <v>0.88400000000000001</v>
      </c>
      <c r="N22" s="2">
        <v>1.01E-2</v>
      </c>
      <c r="O22" s="2">
        <v>0.10589999999999999</v>
      </c>
      <c r="P22">
        <v>6631604.5959999999</v>
      </c>
      <c r="Q22" s="8" t="s">
        <v>9</v>
      </c>
    </row>
    <row r="23" spans="1:18" x14ac:dyDescent="0.2">
      <c r="A23" s="9"/>
      <c r="B23">
        <v>256</v>
      </c>
      <c r="C23">
        <v>1.67</v>
      </c>
      <c r="D23" s="2">
        <v>0.85680000000000001</v>
      </c>
      <c r="E23" s="2">
        <v>4.24E-2</v>
      </c>
      <c r="F23" s="2">
        <v>0.1008</v>
      </c>
      <c r="G23">
        <v>6204029.6169999996</v>
      </c>
      <c r="K23">
        <v>256</v>
      </c>
      <c r="L23">
        <v>1.61</v>
      </c>
      <c r="M23" s="2">
        <v>0.88460000000000005</v>
      </c>
      <c r="N23" s="2">
        <v>1.03E-2</v>
      </c>
      <c r="O23" s="2">
        <v>0.1051</v>
      </c>
      <c r="P23">
        <v>6447889.2319999998</v>
      </c>
      <c r="Q23" s="8"/>
    </row>
    <row r="24" spans="1:18" x14ac:dyDescent="0.2">
      <c r="A24" s="9"/>
      <c r="B24">
        <v>512</v>
      </c>
      <c r="C24">
        <v>3.29</v>
      </c>
      <c r="D24" s="2">
        <v>0.85429999999999995</v>
      </c>
      <c r="E24" s="2">
        <v>4.3499999999999997E-2</v>
      </c>
      <c r="F24" s="2">
        <v>0.1023</v>
      </c>
      <c r="G24">
        <v>6293913.5429999996</v>
      </c>
      <c r="K24">
        <v>512</v>
      </c>
      <c r="L24">
        <v>3.29</v>
      </c>
      <c r="M24" s="2">
        <v>0.88480000000000003</v>
      </c>
      <c r="N24" s="2">
        <v>1.04E-2</v>
      </c>
      <c r="O24" s="2">
        <v>0.10489999999999999</v>
      </c>
      <c r="P24">
        <v>6318044.3990000002</v>
      </c>
      <c r="Q24" s="8"/>
    </row>
    <row r="25" spans="1:18" x14ac:dyDescent="0.2">
      <c r="A25" s="9"/>
      <c r="B25">
        <v>1024</v>
      </c>
      <c r="C25">
        <v>6.49</v>
      </c>
      <c r="D25" s="2">
        <v>0.85980000000000001</v>
      </c>
      <c r="E25" s="2">
        <v>3.7600000000000001E-2</v>
      </c>
      <c r="F25" s="2">
        <v>0.1027</v>
      </c>
      <c r="G25">
        <v>6390625.4129999997</v>
      </c>
      <c r="K25">
        <v>1024</v>
      </c>
      <c r="L25">
        <v>6.48</v>
      </c>
      <c r="M25" s="2">
        <v>0.88439999999999996</v>
      </c>
      <c r="N25" s="2">
        <v>1.0200000000000001E-2</v>
      </c>
      <c r="O25" s="2">
        <v>0.10539999999999999</v>
      </c>
      <c r="P25">
        <v>6420536.5350000001</v>
      </c>
      <c r="Q25" s="8"/>
    </row>
    <row r="26" spans="1:18" ht="17" thickBot="1" x14ac:dyDescent="0.25">
      <c r="A26" s="10"/>
      <c r="B26" s="11">
        <v>2048</v>
      </c>
      <c r="C26" s="11">
        <v>12.64</v>
      </c>
      <c r="D26" s="12">
        <v>0.85950000000000004</v>
      </c>
      <c r="E26" s="12">
        <v>3.8199999999999998E-2</v>
      </c>
      <c r="F26" s="12">
        <v>0.1024</v>
      </c>
      <c r="G26" s="11">
        <v>6565216.0269999998</v>
      </c>
      <c r="H26" s="11"/>
      <c r="I26" s="11"/>
      <c r="J26" s="11"/>
      <c r="K26" s="11">
        <v>2048</v>
      </c>
      <c r="L26" s="11">
        <v>13.02</v>
      </c>
      <c r="M26" s="12">
        <v>0.88419999999999999</v>
      </c>
      <c r="N26" s="12">
        <v>1.03E-2</v>
      </c>
      <c r="O26" s="12">
        <v>0.10539999999999999</v>
      </c>
      <c r="P26" s="11">
        <v>6392130.7000000002</v>
      </c>
      <c r="Q26" s="13"/>
    </row>
    <row r="27" spans="1:18" ht="17" thickBot="1" x14ac:dyDescent="0.25"/>
    <row r="28" spans="1:18" ht="17" thickBot="1" x14ac:dyDescent="0.25">
      <c r="A28" s="3" t="s">
        <v>11</v>
      </c>
      <c r="B28" s="4" t="s">
        <v>6</v>
      </c>
      <c r="C28" s="4" t="s">
        <v>5</v>
      </c>
      <c r="D28" s="19" t="s">
        <v>4</v>
      </c>
      <c r="E28" s="19" t="s">
        <v>3</v>
      </c>
      <c r="F28" s="19" t="s">
        <v>2</v>
      </c>
      <c r="G28" s="4" t="s">
        <v>1</v>
      </c>
      <c r="H28" s="4" t="s">
        <v>48</v>
      </c>
      <c r="I28" s="4"/>
      <c r="J28" s="5" t="s">
        <v>11</v>
      </c>
      <c r="K28" s="4" t="s">
        <v>6</v>
      </c>
      <c r="L28" s="4" t="s">
        <v>5</v>
      </c>
      <c r="M28" s="19" t="s">
        <v>4</v>
      </c>
      <c r="N28" s="19" t="s">
        <v>3</v>
      </c>
      <c r="O28" s="19" t="s">
        <v>2</v>
      </c>
      <c r="P28" s="4" t="s">
        <v>1</v>
      </c>
      <c r="Q28" s="6" t="s">
        <v>48</v>
      </c>
      <c r="R28" t="s">
        <v>46</v>
      </c>
    </row>
    <row r="29" spans="1:18" x14ac:dyDescent="0.2">
      <c r="A29" s="7">
        <v>19</v>
      </c>
      <c r="B29">
        <v>2048</v>
      </c>
      <c r="C29">
        <v>12.61</v>
      </c>
      <c r="D29" s="2">
        <v>0.85829999999999995</v>
      </c>
      <c r="E29" s="2">
        <v>3.9800000000000002E-2</v>
      </c>
      <c r="F29" s="2">
        <v>0.1019</v>
      </c>
      <c r="G29">
        <v>6577143.4239999996</v>
      </c>
      <c r="H29">
        <v>1803</v>
      </c>
      <c r="J29" t="s">
        <v>10</v>
      </c>
      <c r="K29">
        <v>2048</v>
      </c>
      <c r="L29">
        <v>13.07</v>
      </c>
      <c r="M29" s="2">
        <v>0.88419999999999999</v>
      </c>
      <c r="N29" s="2">
        <v>1.03E-2</v>
      </c>
      <c r="O29" s="2">
        <v>0.1055</v>
      </c>
      <c r="P29">
        <v>6370905.1490000002</v>
      </c>
      <c r="Q29" s="8">
        <v>27</v>
      </c>
    </row>
    <row r="30" spans="1:18" x14ac:dyDescent="0.2">
      <c r="A30" s="7"/>
      <c r="B30">
        <v>2048</v>
      </c>
      <c r="C30">
        <v>12.54</v>
      </c>
      <c r="D30" s="2">
        <v>0.8679</v>
      </c>
      <c r="E30" s="2">
        <v>3.09E-2</v>
      </c>
      <c r="F30" s="2">
        <v>0.1012</v>
      </c>
      <c r="G30">
        <v>6604976.1050000004</v>
      </c>
      <c r="H30">
        <v>4169</v>
      </c>
      <c r="J30" s="1"/>
      <c r="K30">
        <v>2048</v>
      </c>
      <c r="L30">
        <v>11.35</v>
      </c>
      <c r="M30" s="2">
        <v>0.88400000000000001</v>
      </c>
      <c r="N30" s="2">
        <v>1.06E-2</v>
      </c>
      <c r="O30" s="2">
        <v>0.10539999999999999</v>
      </c>
      <c r="P30">
        <v>7335913.4289999995</v>
      </c>
      <c r="Q30" s="8">
        <v>23</v>
      </c>
    </row>
    <row r="31" spans="1:18" x14ac:dyDescent="0.2">
      <c r="A31" s="7"/>
      <c r="B31">
        <v>2048</v>
      </c>
      <c r="C31">
        <v>12.6</v>
      </c>
      <c r="D31" s="2">
        <v>0.86140000000000005</v>
      </c>
      <c r="E31" s="2">
        <v>3.6999999999999998E-2</v>
      </c>
      <c r="F31" s="2">
        <v>0.1017</v>
      </c>
      <c r="G31">
        <v>6577224.1739999996</v>
      </c>
      <c r="H31">
        <v>2564</v>
      </c>
      <c r="J31" s="1"/>
      <c r="K31">
        <v>2048</v>
      </c>
      <c r="L31">
        <v>13.78</v>
      </c>
      <c r="M31" s="2">
        <v>0.8831</v>
      </c>
      <c r="N31" s="2">
        <v>1.18E-2</v>
      </c>
      <c r="O31" s="2">
        <v>0.1051</v>
      </c>
      <c r="P31">
        <v>6039975.3779999996</v>
      </c>
      <c r="Q31" s="8">
        <v>26</v>
      </c>
    </row>
    <row r="32" spans="1:18" x14ac:dyDescent="0.2">
      <c r="A32" s="7"/>
      <c r="B32">
        <v>2048</v>
      </c>
      <c r="C32">
        <v>12.71</v>
      </c>
      <c r="D32" s="2">
        <v>0.85799999999999998</v>
      </c>
      <c r="E32" s="2">
        <v>3.9399999999999998E-2</v>
      </c>
      <c r="F32" s="2">
        <v>0.10249999999999999</v>
      </c>
      <c r="G32">
        <v>6526680.4939999999</v>
      </c>
      <c r="H32">
        <v>2140</v>
      </c>
      <c r="J32" s="1"/>
      <c r="K32">
        <v>2048</v>
      </c>
      <c r="L32">
        <v>13.14</v>
      </c>
      <c r="M32" s="2">
        <v>0.88329999999999997</v>
      </c>
      <c r="N32" s="2">
        <v>1.0200000000000001E-2</v>
      </c>
      <c r="O32" s="2">
        <v>0.1065</v>
      </c>
      <c r="P32">
        <v>6343882.5489999996</v>
      </c>
      <c r="Q32" s="8">
        <v>26</v>
      </c>
    </row>
    <row r="33" spans="1:18" ht="17" thickBot="1" x14ac:dyDescent="0.25">
      <c r="A33" s="14"/>
      <c r="B33" s="11">
        <v>2048</v>
      </c>
      <c r="C33" s="11">
        <v>12.64</v>
      </c>
      <c r="D33" s="12">
        <v>0.85950000000000004</v>
      </c>
      <c r="E33" s="12">
        <v>3.8199999999999998E-2</v>
      </c>
      <c r="F33" s="12">
        <v>0.1024</v>
      </c>
      <c r="G33" s="11">
        <v>6565216.0269999998</v>
      </c>
      <c r="H33" s="11">
        <v>2074</v>
      </c>
      <c r="I33" s="11"/>
      <c r="J33" s="15"/>
      <c r="K33" s="11">
        <v>2048</v>
      </c>
      <c r="L33" s="11">
        <v>13.02</v>
      </c>
      <c r="M33" s="12">
        <v>0.88419999999999999</v>
      </c>
      <c r="N33" s="12">
        <v>1.03E-2</v>
      </c>
      <c r="O33" s="12">
        <v>0.10539999999999999</v>
      </c>
      <c r="P33" s="11">
        <v>6392130.7000000002</v>
      </c>
      <c r="Q33" s="13">
        <v>27</v>
      </c>
    </row>
    <row r="34" spans="1:18" x14ac:dyDescent="0.2">
      <c r="A34" s="16" t="s">
        <v>47</v>
      </c>
      <c r="B34" s="17">
        <f>AVERAGE(B29:B33)</f>
        <v>2048</v>
      </c>
      <c r="C34" s="17">
        <f t="shared" ref="C34:Q34" si="0">AVERAGE(C29:C33)</f>
        <v>12.620000000000001</v>
      </c>
      <c r="D34" s="18">
        <f>AVERAGE(D29:D33)</f>
        <v>0.86102000000000012</v>
      </c>
      <c r="E34" s="18">
        <f>AVERAGE(E29:E33)</f>
        <v>3.7059999999999996E-2</v>
      </c>
      <c r="F34" s="18">
        <f>AVERAGE(F29:F33)</f>
        <v>0.10194</v>
      </c>
      <c r="G34" s="17">
        <f t="shared" si="0"/>
        <v>6570248.0447999993</v>
      </c>
      <c r="H34" s="17">
        <f>AVERAGE(H29:H33)</f>
        <v>2550</v>
      </c>
      <c r="I34" s="17"/>
      <c r="J34" s="17"/>
      <c r="K34" s="17">
        <f t="shared" si="0"/>
        <v>2048</v>
      </c>
      <c r="L34" s="17">
        <f t="shared" si="0"/>
        <v>12.872</v>
      </c>
      <c r="M34" s="18">
        <f>AVERAGE(M29:M33)</f>
        <v>0.88375999999999999</v>
      </c>
      <c r="N34" s="18">
        <f>AVERAGE(N29:N33)</f>
        <v>1.064E-2</v>
      </c>
      <c r="O34" s="18">
        <f>AVERAGE(O29:O33)</f>
        <v>0.10557999999999998</v>
      </c>
      <c r="P34" s="17">
        <f t="shared" si="0"/>
        <v>6496561.4409999996</v>
      </c>
      <c r="Q34" s="17">
        <f t="shared" si="0"/>
        <v>25.8</v>
      </c>
    </row>
    <row r="35" spans="1:18" x14ac:dyDescent="0.2">
      <c r="A35" s="20" t="s">
        <v>49</v>
      </c>
      <c r="B35" s="21">
        <f t="shared" ref="B35:H35" si="1">STDEV(B29:B33)</f>
        <v>0</v>
      </c>
      <c r="C35" s="21">
        <f t="shared" si="1"/>
        <v>6.2048368229954971E-2</v>
      </c>
      <c r="D35" s="22">
        <f t="shared" si="1"/>
        <v>4.0714862151307943E-3</v>
      </c>
      <c r="E35" s="22">
        <f t="shared" si="1"/>
        <v>3.6135854770573779E-3</v>
      </c>
      <c r="F35" s="22">
        <f t="shared" si="1"/>
        <v>5.3197744313081556E-4</v>
      </c>
      <c r="G35" s="21">
        <f t="shared" si="1"/>
        <v>28397.638475900752</v>
      </c>
      <c r="H35" s="21">
        <f t="shared" si="1"/>
        <v>945.25684340289229</v>
      </c>
      <c r="I35" s="21"/>
      <c r="J35" s="21"/>
      <c r="K35" s="21">
        <f t="shared" ref="K35" si="2">STDEV(K29:K33)</f>
        <v>0</v>
      </c>
      <c r="L35" s="21">
        <f t="shared" ref="L35:Q35" si="3">STDEV(L29:L33)</f>
        <v>0.90469331820236187</v>
      </c>
      <c r="M35" s="22">
        <f t="shared" si="3"/>
        <v>5.2249401910452718E-4</v>
      </c>
      <c r="N35" s="22">
        <f t="shared" si="3"/>
        <v>6.6558245169174917E-4</v>
      </c>
      <c r="O35" s="22">
        <f t="shared" si="3"/>
        <v>5.3572380943915524E-4</v>
      </c>
      <c r="P35" s="21">
        <f t="shared" si="3"/>
        <v>490659.94337543438</v>
      </c>
      <c r="Q35" s="21">
        <f t="shared" si="3"/>
        <v>1.6431676725154982</v>
      </c>
    </row>
    <row r="36" spans="1:18" ht="17" thickBot="1" x14ac:dyDescent="0.25"/>
    <row r="37" spans="1:18" ht="17" thickBot="1" x14ac:dyDescent="0.25">
      <c r="A37" s="3" t="s">
        <v>11</v>
      </c>
      <c r="B37" s="4" t="s">
        <v>6</v>
      </c>
      <c r="C37" s="4" t="s">
        <v>5</v>
      </c>
      <c r="D37" s="19" t="s">
        <v>4</v>
      </c>
      <c r="E37" s="19" t="s">
        <v>3</v>
      </c>
      <c r="F37" s="19" t="s">
        <v>2</v>
      </c>
      <c r="G37" s="4" t="s">
        <v>1</v>
      </c>
      <c r="H37" s="4" t="s">
        <v>48</v>
      </c>
      <c r="I37" s="4"/>
      <c r="J37" s="5" t="s">
        <v>11</v>
      </c>
      <c r="K37" s="4" t="s">
        <v>6</v>
      </c>
      <c r="L37" s="4" t="s">
        <v>5</v>
      </c>
      <c r="M37" s="19" t="s">
        <v>4</v>
      </c>
      <c r="N37" s="19" t="s">
        <v>3</v>
      </c>
      <c r="O37" s="19" t="s">
        <v>2</v>
      </c>
      <c r="P37" s="4" t="s">
        <v>1</v>
      </c>
      <c r="Q37" s="6" t="s">
        <v>48</v>
      </c>
      <c r="R37" s="2" t="s">
        <v>50</v>
      </c>
    </row>
    <row r="38" spans="1:18" x14ac:dyDescent="0.2">
      <c r="A38" s="7">
        <v>19</v>
      </c>
      <c r="B38">
        <v>2048</v>
      </c>
      <c r="C38">
        <f t="shared" ref="C38:H42" si="4">IF(ABS(C29-C$34) &lt;= 3*C$35,C29,"")</f>
        <v>12.61</v>
      </c>
      <c r="D38" s="2">
        <f t="shared" si="4"/>
        <v>0.85829999999999995</v>
      </c>
      <c r="E38" s="2">
        <f t="shared" si="4"/>
        <v>3.9800000000000002E-2</v>
      </c>
      <c r="F38" s="2">
        <f t="shared" si="4"/>
        <v>0.1019</v>
      </c>
      <c r="G38">
        <f t="shared" si="4"/>
        <v>6577143.4239999996</v>
      </c>
      <c r="H38">
        <f t="shared" si="4"/>
        <v>1803</v>
      </c>
      <c r="J38" t="s">
        <v>10</v>
      </c>
      <c r="K38">
        <f t="shared" ref="K38:Q42" si="5">IF(ABS(K29-K$34) &lt;= 3*K$35,K29,"")</f>
        <v>2048</v>
      </c>
      <c r="L38">
        <f t="shared" si="5"/>
        <v>13.07</v>
      </c>
      <c r="M38" s="2">
        <f t="shared" si="5"/>
        <v>0.88419999999999999</v>
      </c>
      <c r="N38" s="2">
        <f t="shared" si="5"/>
        <v>1.03E-2</v>
      </c>
      <c r="O38" s="2">
        <f t="shared" si="5"/>
        <v>0.1055</v>
      </c>
      <c r="P38">
        <f t="shared" si="5"/>
        <v>6370905.1490000002</v>
      </c>
      <c r="Q38" s="8">
        <f t="shared" si="5"/>
        <v>27</v>
      </c>
    </row>
    <row r="39" spans="1:18" x14ac:dyDescent="0.2">
      <c r="A39" s="9"/>
      <c r="B39">
        <v>2048</v>
      </c>
      <c r="C39">
        <f t="shared" si="4"/>
        <v>12.54</v>
      </c>
      <c r="D39" s="2">
        <f t="shared" si="4"/>
        <v>0.8679</v>
      </c>
      <c r="E39" s="2">
        <f t="shared" si="4"/>
        <v>3.09E-2</v>
      </c>
      <c r="F39" s="2">
        <f t="shared" si="4"/>
        <v>0.1012</v>
      </c>
      <c r="G39">
        <f t="shared" si="4"/>
        <v>6604976.1050000004</v>
      </c>
      <c r="H39">
        <f t="shared" si="4"/>
        <v>4169</v>
      </c>
      <c r="K39">
        <f t="shared" si="5"/>
        <v>2048</v>
      </c>
      <c r="L39">
        <f t="shared" si="5"/>
        <v>11.35</v>
      </c>
      <c r="M39" s="2">
        <f t="shared" si="5"/>
        <v>0.88400000000000001</v>
      </c>
      <c r="N39" s="2">
        <f t="shared" si="5"/>
        <v>1.06E-2</v>
      </c>
      <c r="O39" s="2">
        <f t="shared" si="5"/>
        <v>0.10539999999999999</v>
      </c>
      <c r="P39">
        <f t="shared" si="5"/>
        <v>7335913.4289999995</v>
      </c>
      <c r="Q39" s="8">
        <f t="shared" si="5"/>
        <v>23</v>
      </c>
    </row>
    <row r="40" spans="1:18" x14ac:dyDescent="0.2">
      <c r="A40" s="9"/>
      <c r="B40">
        <v>2048</v>
      </c>
      <c r="C40">
        <f t="shared" si="4"/>
        <v>12.6</v>
      </c>
      <c r="D40" s="2">
        <f t="shared" si="4"/>
        <v>0.86140000000000005</v>
      </c>
      <c r="E40" s="2">
        <f t="shared" si="4"/>
        <v>3.6999999999999998E-2</v>
      </c>
      <c r="F40" s="2">
        <f t="shared" si="4"/>
        <v>0.1017</v>
      </c>
      <c r="G40">
        <f t="shared" si="4"/>
        <v>6577224.1739999996</v>
      </c>
      <c r="H40">
        <f t="shared" si="4"/>
        <v>2564</v>
      </c>
      <c r="K40">
        <f t="shared" si="5"/>
        <v>2048</v>
      </c>
      <c r="L40">
        <f t="shared" si="5"/>
        <v>13.78</v>
      </c>
      <c r="M40" s="2">
        <f t="shared" si="5"/>
        <v>0.8831</v>
      </c>
      <c r="N40" s="2">
        <f t="shared" si="5"/>
        <v>1.18E-2</v>
      </c>
      <c r="O40" s="2">
        <f t="shared" si="5"/>
        <v>0.1051</v>
      </c>
      <c r="P40">
        <f t="shared" si="5"/>
        <v>6039975.3779999996</v>
      </c>
      <c r="Q40" s="8">
        <f t="shared" si="5"/>
        <v>26</v>
      </c>
    </row>
    <row r="41" spans="1:18" x14ac:dyDescent="0.2">
      <c r="A41" s="9"/>
      <c r="B41">
        <v>2048</v>
      </c>
      <c r="C41">
        <f t="shared" si="4"/>
        <v>12.71</v>
      </c>
      <c r="D41" s="2">
        <f t="shared" si="4"/>
        <v>0.85799999999999998</v>
      </c>
      <c r="E41" s="2">
        <f t="shared" si="4"/>
        <v>3.9399999999999998E-2</v>
      </c>
      <c r="F41" s="2">
        <f t="shared" si="4"/>
        <v>0.10249999999999999</v>
      </c>
      <c r="G41">
        <f t="shared" si="4"/>
        <v>6526680.4939999999</v>
      </c>
      <c r="H41">
        <f t="shared" si="4"/>
        <v>2140</v>
      </c>
      <c r="K41">
        <f t="shared" si="5"/>
        <v>2048</v>
      </c>
      <c r="L41">
        <f t="shared" si="5"/>
        <v>13.14</v>
      </c>
      <c r="M41" s="2">
        <f t="shared" si="5"/>
        <v>0.88329999999999997</v>
      </c>
      <c r="N41" s="2">
        <f t="shared" si="5"/>
        <v>1.0200000000000001E-2</v>
      </c>
      <c r="O41" s="2">
        <f t="shared" si="5"/>
        <v>0.1065</v>
      </c>
      <c r="P41">
        <f t="shared" si="5"/>
        <v>6343882.5489999996</v>
      </c>
      <c r="Q41" s="8">
        <f t="shared" si="5"/>
        <v>26</v>
      </c>
    </row>
    <row r="42" spans="1:18" ht="17" thickBot="1" x14ac:dyDescent="0.25">
      <c r="A42" s="10"/>
      <c r="B42" s="11">
        <v>2048</v>
      </c>
      <c r="C42" s="11">
        <f t="shared" si="4"/>
        <v>12.64</v>
      </c>
      <c r="D42" s="12">
        <f t="shared" si="4"/>
        <v>0.85950000000000004</v>
      </c>
      <c r="E42" s="12">
        <f t="shared" si="4"/>
        <v>3.8199999999999998E-2</v>
      </c>
      <c r="F42" s="12">
        <f t="shared" si="4"/>
        <v>0.1024</v>
      </c>
      <c r="G42" s="11">
        <f t="shared" si="4"/>
        <v>6565216.0269999998</v>
      </c>
      <c r="H42" s="11">
        <f t="shared" si="4"/>
        <v>2074</v>
      </c>
      <c r="I42" s="11"/>
      <c r="J42" s="11"/>
      <c r="K42" s="11">
        <f t="shared" si="5"/>
        <v>2048</v>
      </c>
      <c r="L42" s="11">
        <f t="shared" si="5"/>
        <v>13.02</v>
      </c>
      <c r="M42" s="12">
        <f t="shared" si="5"/>
        <v>0.88419999999999999</v>
      </c>
      <c r="N42" s="12">
        <f t="shared" si="5"/>
        <v>1.03E-2</v>
      </c>
      <c r="O42" s="12">
        <f t="shared" si="5"/>
        <v>0.10539999999999999</v>
      </c>
      <c r="P42" s="11">
        <f t="shared" si="5"/>
        <v>6392130.7000000002</v>
      </c>
      <c r="Q42" s="13">
        <f t="shared" si="5"/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4CCC-28F1-E548-9A46-33F7E24DDAEF}">
  <dimension ref="A1:Y44"/>
  <sheetViews>
    <sheetView topLeftCell="G11" workbookViewId="0">
      <selection activeCell="W46" sqref="W46:X47"/>
    </sheetView>
  </sheetViews>
  <sheetFormatPr baseColWidth="10" defaultRowHeight="16" x14ac:dyDescent="0.2"/>
  <cols>
    <col min="4" max="6" width="10.83203125" style="2"/>
    <col min="8" max="8" width="13.1640625" customWidth="1"/>
    <col min="12" max="14" width="10.83203125" style="2"/>
    <col min="16" max="16" width="13.83203125" customWidth="1"/>
    <col min="20" max="22" width="10.83203125" style="2"/>
    <col min="24" max="24" width="14.1640625" customWidth="1"/>
  </cols>
  <sheetData>
    <row r="1" spans="1:25" ht="17" thickBot="1" x14ac:dyDescent="0.25">
      <c r="A1" s="3" t="s">
        <v>51</v>
      </c>
      <c r="B1" s="4" t="s">
        <v>6</v>
      </c>
      <c r="C1" s="4" t="s">
        <v>5</v>
      </c>
      <c r="D1" s="19" t="s">
        <v>4</v>
      </c>
      <c r="E1" s="19" t="s">
        <v>3</v>
      </c>
      <c r="F1" s="19" t="s">
        <v>2</v>
      </c>
      <c r="G1" s="4" t="s">
        <v>1</v>
      </c>
      <c r="H1" s="4" t="s">
        <v>42</v>
      </c>
      <c r="I1" s="3" t="s">
        <v>51</v>
      </c>
      <c r="J1" s="4" t="s">
        <v>6</v>
      </c>
      <c r="K1" s="4" t="s">
        <v>5</v>
      </c>
      <c r="L1" s="19" t="s">
        <v>4</v>
      </c>
      <c r="M1" s="19" t="s">
        <v>3</v>
      </c>
      <c r="N1" s="19" t="s">
        <v>2</v>
      </c>
      <c r="O1" s="4" t="s">
        <v>1</v>
      </c>
      <c r="P1" s="6" t="s">
        <v>42</v>
      </c>
      <c r="Q1" s="5" t="s">
        <v>51</v>
      </c>
      <c r="R1" s="4" t="s">
        <v>6</v>
      </c>
      <c r="S1" s="4" t="s">
        <v>5</v>
      </c>
      <c r="T1" s="19" t="s">
        <v>4</v>
      </c>
      <c r="U1" s="19" t="s">
        <v>3</v>
      </c>
      <c r="V1" s="19" t="s">
        <v>2</v>
      </c>
      <c r="W1" s="4" t="s">
        <v>1</v>
      </c>
      <c r="X1" s="6" t="s">
        <v>42</v>
      </c>
      <c r="Y1" t="s">
        <v>45</v>
      </c>
    </row>
    <row r="2" spans="1:25" x14ac:dyDescent="0.2">
      <c r="A2" s="9" t="s">
        <v>52</v>
      </c>
      <c r="B2">
        <v>128</v>
      </c>
      <c r="C2">
        <v>0.59</v>
      </c>
      <c r="D2" s="2">
        <v>0.88390000000000002</v>
      </c>
      <c r="E2" s="2">
        <v>1.11E-2</v>
      </c>
      <c r="F2" s="2">
        <v>0.105</v>
      </c>
      <c r="G2">
        <v>8802791.727</v>
      </c>
      <c r="I2" s="9" t="s">
        <v>53</v>
      </c>
      <c r="J2">
        <v>128</v>
      </c>
      <c r="K2">
        <v>0.66</v>
      </c>
      <c r="L2" s="2">
        <v>0.8841</v>
      </c>
      <c r="M2" s="2">
        <v>1.12E-2</v>
      </c>
      <c r="N2" s="2">
        <v>0.1048</v>
      </c>
      <c r="O2">
        <v>7851740.6299999999</v>
      </c>
      <c r="P2" s="8"/>
      <c r="Q2" t="s">
        <v>54</v>
      </c>
      <c r="R2">
        <v>128</v>
      </c>
      <c r="S2">
        <v>0.67</v>
      </c>
      <c r="T2" s="2">
        <v>0.88419999999999999</v>
      </c>
      <c r="U2" s="2">
        <v>1.01E-2</v>
      </c>
      <c r="V2" s="2">
        <v>0.10580000000000001</v>
      </c>
      <c r="W2">
        <v>7758584.4740000004</v>
      </c>
      <c r="X2" s="8"/>
    </row>
    <row r="3" spans="1:25" x14ac:dyDescent="0.2">
      <c r="A3" s="9"/>
      <c r="B3">
        <v>256</v>
      </c>
      <c r="C3">
        <v>1.1599999999999999</v>
      </c>
      <c r="D3" s="2">
        <v>0.88370000000000004</v>
      </c>
      <c r="E3" s="2">
        <v>1.06E-2</v>
      </c>
      <c r="F3" s="2">
        <v>0.1057</v>
      </c>
      <c r="G3">
        <v>8955242.8350000009</v>
      </c>
      <c r="I3" s="9"/>
      <c r="J3">
        <v>256</v>
      </c>
      <c r="K3">
        <v>1.3</v>
      </c>
      <c r="L3" s="2">
        <v>0.88180000000000003</v>
      </c>
      <c r="M3" s="2">
        <v>1.23E-2</v>
      </c>
      <c r="N3" s="2">
        <v>0.10589999999999999</v>
      </c>
      <c r="O3">
        <v>8010712.8959999997</v>
      </c>
      <c r="P3" s="8"/>
      <c r="R3">
        <v>256</v>
      </c>
      <c r="S3">
        <v>1.35</v>
      </c>
      <c r="T3" s="2">
        <v>0.88349999999999995</v>
      </c>
      <c r="U3" s="2">
        <v>1.0500000000000001E-2</v>
      </c>
      <c r="V3" s="2">
        <v>0.106</v>
      </c>
      <c r="W3">
        <v>7733714.8609999996</v>
      </c>
      <c r="X3" s="8"/>
    </row>
    <row r="4" spans="1:25" x14ac:dyDescent="0.2">
      <c r="A4" s="9"/>
      <c r="B4">
        <v>512</v>
      </c>
      <c r="C4">
        <v>2.33</v>
      </c>
      <c r="D4" s="2">
        <v>0.88160000000000005</v>
      </c>
      <c r="E4" s="2">
        <v>1.1299999999999999E-2</v>
      </c>
      <c r="F4" s="2">
        <v>0.107</v>
      </c>
      <c r="G4">
        <v>8956431.9600000009</v>
      </c>
      <c r="I4" s="9"/>
      <c r="J4">
        <v>512</v>
      </c>
      <c r="K4">
        <v>2.62</v>
      </c>
      <c r="L4" s="2">
        <v>0.88229999999999997</v>
      </c>
      <c r="M4" s="2">
        <v>1.21E-2</v>
      </c>
      <c r="N4" s="2">
        <v>0.1056</v>
      </c>
      <c r="O4">
        <v>7933623.949</v>
      </c>
      <c r="P4" s="8"/>
      <c r="R4">
        <v>512</v>
      </c>
      <c r="S4">
        <v>2.68</v>
      </c>
      <c r="T4" s="2">
        <v>0.88319999999999999</v>
      </c>
      <c r="U4" s="2">
        <v>1.0500000000000001E-2</v>
      </c>
      <c r="V4" s="2">
        <v>0.10630000000000001</v>
      </c>
      <c r="W4">
        <v>7774691.5089999996</v>
      </c>
      <c r="X4" s="8"/>
    </row>
    <row r="5" spans="1:25" x14ac:dyDescent="0.2">
      <c r="A5" s="9"/>
      <c r="B5">
        <v>1024</v>
      </c>
      <c r="C5">
        <v>4.74</v>
      </c>
      <c r="D5" s="2">
        <v>0.88400000000000001</v>
      </c>
      <c r="E5" s="2">
        <v>1.0999999999999999E-2</v>
      </c>
      <c r="F5" s="2">
        <v>0.105</v>
      </c>
      <c r="G5">
        <v>8773502.7430000007</v>
      </c>
      <c r="I5" s="9"/>
      <c r="J5">
        <v>1024</v>
      </c>
      <c r="K5">
        <v>5.31</v>
      </c>
      <c r="L5" s="2">
        <v>0.88270000000000004</v>
      </c>
      <c r="M5" s="2">
        <v>1.18E-2</v>
      </c>
      <c r="N5" s="2">
        <v>0.1055</v>
      </c>
      <c r="O5">
        <v>7845442.0539999995</v>
      </c>
      <c r="P5" s="8"/>
      <c r="R5">
        <v>1024</v>
      </c>
      <c r="S5">
        <v>5.42</v>
      </c>
      <c r="T5" s="2">
        <v>0.88360000000000005</v>
      </c>
      <c r="U5" s="2">
        <v>1.04E-2</v>
      </c>
      <c r="V5" s="2">
        <v>0.106</v>
      </c>
      <c r="W5">
        <v>7685112.3119999999</v>
      </c>
      <c r="X5" s="8"/>
    </row>
    <row r="6" spans="1:25" x14ac:dyDescent="0.2">
      <c r="A6" s="9"/>
      <c r="B6">
        <v>2048</v>
      </c>
      <c r="C6">
        <v>9.98</v>
      </c>
      <c r="D6" s="2">
        <v>0.88339999999999996</v>
      </c>
      <c r="E6" s="2">
        <v>1.1299999999999999E-2</v>
      </c>
      <c r="F6" s="2">
        <v>0.1053</v>
      </c>
      <c r="G6">
        <v>8335805.0159999998</v>
      </c>
      <c r="H6" t="s">
        <v>26</v>
      </c>
      <c r="I6" s="9"/>
      <c r="J6">
        <v>2048</v>
      </c>
      <c r="K6">
        <v>10.64</v>
      </c>
      <c r="L6" s="2">
        <v>0.88190000000000002</v>
      </c>
      <c r="M6" s="2">
        <v>1.23E-2</v>
      </c>
      <c r="N6" s="2">
        <v>0.10580000000000001</v>
      </c>
      <c r="O6">
        <v>7824229.3720000004</v>
      </c>
      <c r="P6" s="8" t="s">
        <v>20</v>
      </c>
      <c r="R6">
        <v>2048</v>
      </c>
      <c r="S6">
        <v>10.91</v>
      </c>
      <c r="T6" s="2">
        <v>0.88370000000000004</v>
      </c>
      <c r="U6" s="2">
        <v>1.0500000000000001E-2</v>
      </c>
      <c r="V6" s="2">
        <v>0.10580000000000001</v>
      </c>
      <c r="W6">
        <v>7630510.2860000003</v>
      </c>
      <c r="X6" s="8" t="s">
        <v>25</v>
      </c>
    </row>
    <row r="7" spans="1:25" x14ac:dyDescent="0.2">
      <c r="A7" s="9"/>
      <c r="B7">
        <v>128</v>
      </c>
      <c r="C7">
        <v>0.69</v>
      </c>
      <c r="D7" s="2">
        <v>0.88439999999999996</v>
      </c>
      <c r="E7" s="2">
        <v>1.0699999999999999E-2</v>
      </c>
      <c r="F7" s="2">
        <v>0.10489999999999999</v>
      </c>
      <c r="G7">
        <v>7540012.0860000001</v>
      </c>
      <c r="I7" s="9"/>
      <c r="J7">
        <v>128</v>
      </c>
      <c r="K7">
        <v>0.7</v>
      </c>
      <c r="L7" s="2">
        <v>0.88400000000000001</v>
      </c>
      <c r="M7" s="2">
        <v>1.23E-2</v>
      </c>
      <c r="N7" s="2">
        <v>0.1037</v>
      </c>
      <c r="O7">
        <v>7423899.9529999997</v>
      </c>
      <c r="P7" s="8"/>
      <c r="R7">
        <v>128</v>
      </c>
      <c r="S7">
        <v>0.69</v>
      </c>
      <c r="T7" s="2">
        <v>0.88380000000000003</v>
      </c>
      <c r="U7" s="2">
        <v>1.0500000000000001E-2</v>
      </c>
      <c r="V7" s="2">
        <v>0.1057</v>
      </c>
      <c r="W7">
        <v>7501692.4460000005</v>
      </c>
      <c r="X7" s="8"/>
    </row>
    <row r="8" spans="1:25" x14ac:dyDescent="0.2">
      <c r="A8" s="9"/>
      <c r="B8">
        <v>256</v>
      </c>
      <c r="C8">
        <v>1.37</v>
      </c>
      <c r="D8" s="2">
        <v>0.88349999999999995</v>
      </c>
      <c r="E8" s="2">
        <v>1.1599999999999999E-2</v>
      </c>
      <c r="F8" s="2">
        <v>0.105</v>
      </c>
      <c r="G8">
        <v>7577386.4330000002</v>
      </c>
      <c r="I8" s="9"/>
      <c r="J8">
        <v>256</v>
      </c>
      <c r="K8">
        <v>1.37</v>
      </c>
      <c r="L8" s="2">
        <v>0.88249999999999995</v>
      </c>
      <c r="M8" s="2">
        <v>1.2200000000000001E-2</v>
      </c>
      <c r="N8" s="2">
        <v>0.1053</v>
      </c>
      <c r="O8">
        <v>7579459.5939999996</v>
      </c>
      <c r="P8" s="8"/>
      <c r="R8">
        <v>256</v>
      </c>
      <c r="S8">
        <v>1.4</v>
      </c>
      <c r="T8" s="2">
        <v>0.88449999999999995</v>
      </c>
      <c r="U8" s="2">
        <v>1.0699999999999999E-2</v>
      </c>
      <c r="V8" s="2">
        <v>0.10489999999999999</v>
      </c>
      <c r="W8">
        <v>7437068.0489999996</v>
      </c>
      <c r="X8" s="8"/>
    </row>
    <row r="9" spans="1:25" x14ac:dyDescent="0.2">
      <c r="A9" s="9"/>
      <c r="B9">
        <v>512</v>
      </c>
      <c r="C9">
        <v>2.74</v>
      </c>
      <c r="D9" s="2">
        <v>0.88349999999999995</v>
      </c>
      <c r="E9" s="2">
        <v>1.15E-2</v>
      </c>
      <c r="F9" s="2">
        <v>0.10489999999999999</v>
      </c>
      <c r="G9">
        <v>7592780.1310000001</v>
      </c>
      <c r="I9" s="9"/>
      <c r="J9">
        <v>512</v>
      </c>
      <c r="K9">
        <v>2.76</v>
      </c>
      <c r="L9" s="2">
        <v>0.8831</v>
      </c>
      <c r="M9" s="2">
        <v>1.14E-2</v>
      </c>
      <c r="N9" s="2">
        <v>0.1055</v>
      </c>
      <c r="O9">
        <v>7544393.8770000003</v>
      </c>
      <c r="P9" s="8"/>
      <c r="R9">
        <v>512</v>
      </c>
      <c r="S9">
        <v>2.79</v>
      </c>
      <c r="T9" s="2">
        <v>0.88380000000000003</v>
      </c>
      <c r="U9" s="2">
        <v>1.0500000000000001E-2</v>
      </c>
      <c r="V9" s="2">
        <v>0.1056</v>
      </c>
      <c r="W9">
        <v>7461465.8550000004</v>
      </c>
      <c r="X9" s="8"/>
    </row>
    <row r="10" spans="1:25" x14ac:dyDescent="0.2">
      <c r="A10" s="9"/>
      <c r="B10">
        <v>1024</v>
      </c>
      <c r="C10">
        <v>5.48</v>
      </c>
      <c r="D10" s="2">
        <v>0.88400000000000001</v>
      </c>
      <c r="E10" s="2">
        <v>1.0699999999999999E-2</v>
      </c>
      <c r="F10" s="2">
        <v>0.1053</v>
      </c>
      <c r="G10">
        <v>7595988.1830000002</v>
      </c>
      <c r="I10" s="9"/>
      <c r="J10">
        <v>1024</v>
      </c>
      <c r="K10">
        <v>5.53</v>
      </c>
      <c r="L10" s="2">
        <v>0.88319999999999999</v>
      </c>
      <c r="M10" s="2">
        <v>1.17E-2</v>
      </c>
      <c r="N10" s="2">
        <v>0.1051</v>
      </c>
      <c r="O10">
        <v>7519843.466</v>
      </c>
      <c r="P10" s="8"/>
      <c r="R10">
        <v>1024</v>
      </c>
      <c r="S10">
        <v>5.6</v>
      </c>
      <c r="T10" s="2">
        <v>0.88360000000000005</v>
      </c>
      <c r="U10" s="2">
        <v>1.06E-2</v>
      </c>
      <c r="V10" s="2">
        <v>0.1057</v>
      </c>
      <c r="W10">
        <v>7438983.3830000004</v>
      </c>
      <c r="X10" s="8"/>
    </row>
    <row r="11" spans="1:25" x14ac:dyDescent="0.2">
      <c r="A11" s="9"/>
      <c r="B11">
        <v>2048</v>
      </c>
      <c r="C11">
        <v>11.01</v>
      </c>
      <c r="D11" s="2">
        <v>0.88390000000000002</v>
      </c>
      <c r="E11" s="2">
        <v>1.09E-2</v>
      </c>
      <c r="F11" s="2">
        <v>0.1052</v>
      </c>
      <c r="G11">
        <v>7555790.0130000003</v>
      </c>
      <c r="H11" t="s">
        <v>0</v>
      </c>
      <c r="I11" s="9"/>
      <c r="J11">
        <v>2048</v>
      </c>
      <c r="K11">
        <v>11.14</v>
      </c>
      <c r="L11" s="2">
        <v>0.88290000000000002</v>
      </c>
      <c r="M11" s="2">
        <v>1.24E-2</v>
      </c>
      <c r="N11" s="2">
        <v>0.1047</v>
      </c>
      <c r="O11">
        <v>7466537.574</v>
      </c>
      <c r="P11" s="8" t="s">
        <v>19</v>
      </c>
      <c r="R11">
        <v>2048</v>
      </c>
      <c r="S11">
        <v>11.23</v>
      </c>
      <c r="T11" s="2">
        <v>0.88380000000000003</v>
      </c>
      <c r="U11" s="2">
        <v>1.06E-2</v>
      </c>
      <c r="V11" s="2">
        <v>0.1056</v>
      </c>
      <c r="W11">
        <v>7415188.4479999999</v>
      </c>
      <c r="X11" s="8" t="s">
        <v>16</v>
      </c>
    </row>
    <row r="12" spans="1:25" x14ac:dyDescent="0.2">
      <c r="A12" s="9"/>
      <c r="B12">
        <v>128</v>
      </c>
      <c r="C12">
        <v>0.7</v>
      </c>
      <c r="D12" s="2">
        <v>0.8831</v>
      </c>
      <c r="E12" s="2">
        <v>1.09E-2</v>
      </c>
      <c r="F12" s="2">
        <v>0.106</v>
      </c>
      <c r="G12">
        <v>7435903.5810000002</v>
      </c>
      <c r="I12" s="9"/>
      <c r="J12">
        <v>128</v>
      </c>
      <c r="K12">
        <v>0.7</v>
      </c>
      <c r="L12" s="2">
        <v>0.8821</v>
      </c>
      <c r="M12" s="2">
        <v>1.2200000000000001E-2</v>
      </c>
      <c r="N12" s="2">
        <v>0.1057</v>
      </c>
      <c r="O12">
        <v>7431534.1370000001</v>
      </c>
      <c r="P12" s="8"/>
      <c r="R12">
        <v>128</v>
      </c>
      <c r="S12">
        <v>0.7</v>
      </c>
      <c r="T12" s="2">
        <v>0.88429999999999997</v>
      </c>
      <c r="U12" s="2">
        <v>1.04E-2</v>
      </c>
      <c r="V12" s="2">
        <v>0.1053</v>
      </c>
      <c r="W12">
        <v>7389657.1979999999</v>
      </c>
      <c r="X12" s="8"/>
    </row>
    <row r="13" spans="1:25" x14ac:dyDescent="0.2">
      <c r="A13" s="9"/>
      <c r="B13">
        <v>256</v>
      </c>
      <c r="C13">
        <v>1.4</v>
      </c>
      <c r="D13" s="2">
        <v>0.88370000000000004</v>
      </c>
      <c r="E13" s="2">
        <v>1.09E-2</v>
      </c>
      <c r="F13" s="2">
        <v>0.10539999999999999</v>
      </c>
      <c r="G13">
        <v>7432044.432</v>
      </c>
      <c r="I13" s="9"/>
      <c r="J13">
        <v>256</v>
      </c>
      <c r="K13">
        <v>1.38</v>
      </c>
      <c r="L13" s="2">
        <v>0.88260000000000005</v>
      </c>
      <c r="M13" s="2">
        <v>1.1900000000000001E-2</v>
      </c>
      <c r="N13" s="2">
        <v>0.1056</v>
      </c>
      <c r="O13">
        <v>7533555.6349999998</v>
      </c>
      <c r="P13" s="8"/>
      <c r="R13">
        <v>256</v>
      </c>
      <c r="S13">
        <v>1.42</v>
      </c>
      <c r="T13" s="2">
        <v>0.88470000000000004</v>
      </c>
      <c r="U13" s="2">
        <v>1.0500000000000001E-2</v>
      </c>
      <c r="V13" s="2">
        <v>0.1048</v>
      </c>
      <c r="W13">
        <v>7323389.5980000002</v>
      </c>
      <c r="X13" s="8"/>
    </row>
    <row r="14" spans="1:25" x14ac:dyDescent="0.2">
      <c r="A14" s="9"/>
      <c r="B14">
        <v>512</v>
      </c>
      <c r="C14">
        <v>2.8</v>
      </c>
      <c r="D14" s="2">
        <v>0.88290000000000002</v>
      </c>
      <c r="E14" s="2">
        <v>1.24E-2</v>
      </c>
      <c r="F14" s="2">
        <v>0.1047</v>
      </c>
      <c r="G14">
        <v>7414426.4989999998</v>
      </c>
      <c r="I14" s="9"/>
      <c r="J14">
        <v>512</v>
      </c>
      <c r="K14">
        <v>2.8</v>
      </c>
      <c r="L14" s="2">
        <v>0.8831</v>
      </c>
      <c r="M14" s="2">
        <v>1.09E-2</v>
      </c>
      <c r="N14" s="2">
        <v>0.10589999999999999</v>
      </c>
      <c r="O14">
        <v>7434175.3739999998</v>
      </c>
      <c r="P14" s="8"/>
      <c r="R14">
        <v>512</v>
      </c>
      <c r="S14">
        <v>2.83</v>
      </c>
      <c r="T14" s="2">
        <v>0.88429999999999997</v>
      </c>
      <c r="U14" s="2">
        <v>1.0500000000000001E-2</v>
      </c>
      <c r="V14" s="2">
        <v>0.1052</v>
      </c>
      <c r="W14">
        <v>7354775.7019999996</v>
      </c>
      <c r="X14" s="8"/>
    </row>
    <row r="15" spans="1:25" x14ac:dyDescent="0.2">
      <c r="A15" s="9"/>
      <c r="B15">
        <v>1024</v>
      </c>
      <c r="C15">
        <v>5.56</v>
      </c>
      <c r="D15" s="2">
        <v>0.88300000000000001</v>
      </c>
      <c r="E15" s="2">
        <v>1.15E-2</v>
      </c>
      <c r="F15" s="2">
        <v>0.1055</v>
      </c>
      <c r="G15">
        <v>7481591.2249999996</v>
      </c>
      <c r="I15" s="9"/>
      <c r="J15">
        <v>1024</v>
      </c>
      <c r="K15">
        <v>5.59</v>
      </c>
      <c r="L15" s="2">
        <v>0.8831</v>
      </c>
      <c r="M15" s="2">
        <v>1.12E-2</v>
      </c>
      <c r="N15" s="2">
        <v>0.1057</v>
      </c>
      <c r="O15">
        <v>7451207.358</v>
      </c>
      <c r="P15" s="8"/>
      <c r="R15">
        <v>1024</v>
      </c>
      <c r="S15">
        <v>5.66</v>
      </c>
      <c r="T15" s="2">
        <v>0.88390000000000002</v>
      </c>
      <c r="U15" s="2">
        <v>1.0500000000000001E-2</v>
      </c>
      <c r="V15" s="2">
        <v>0.1056</v>
      </c>
      <c r="W15">
        <v>7350755.0130000003</v>
      </c>
      <c r="X15" s="8"/>
    </row>
    <row r="16" spans="1:25" x14ac:dyDescent="0.2">
      <c r="A16" s="9"/>
      <c r="B16">
        <v>2048</v>
      </c>
      <c r="C16">
        <v>11.11</v>
      </c>
      <c r="D16" s="2">
        <v>0.88249999999999995</v>
      </c>
      <c r="E16" s="2">
        <v>1.1599999999999999E-2</v>
      </c>
      <c r="F16" s="2">
        <v>0.10589999999999999</v>
      </c>
      <c r="G16">
        <v>7493506.29</v>
      </c>
      <c r="H16" t="s">
        <v>24</v>
      </c>
      <c r="I16" s="9"/>
      <c r="J16">
        <v>2048</v>
      </c>
      <c r="K16">
        <v>11.13</v>
      </c>
      <c r="L16" s="2">
        <v>0.88270000000000004</v>
      </c>
      <c r="M16" s="2">
        <v>1.0999999999999999E-2</v>
      </c>
      <c r="N16" s="2">
        <v>0.10630000000000001</v>
      </c>
      <c r="O16">
        <v>7485118.2759999996</v>
      </c>
      <c r="P16" s="8" t="s">
        <v>23</v>
      </c>
      <c r="R16">
        <v>2048</v>
      </c>
      <c r="S16">
        <v>11.38</v>
      </c>
      <c r="T16" s="2">
        <v>0.88460000000000005</v>
      </c>
      <c r="U16" s="2">
        <v>1.1299999999999999E-2</v>
      </c>
      <c r="V16" s="2">
        <v>0.1041</v>
      </c>
      <c r="W16">
        <v>7301759.6619999995</v>
      </c>
      <c r="X16" s="8" t="s">
        <v>16</v>
      </c>
    </row>
    <row r="17" spans="1:25" x14ac:dyDescent="0.2">
      <c r="A17" s="9"/>
      <c r="B17">
        <v>128</v>
      </c>
      <c r="C17">
        <v>0.67</v>
      </c>
      <c r="D17" s="2">
        <v>0.88539999999999996</v>
      </c>
      <c r="E17" s="2">
        <v>1.11E-2</v>
      </c>
      <c r="F17" s="2">
        <v>0.10349999999999999</v>
      </c>
      <c r="G17">
        <v>7744692.4639999997</v>
      </c>
      <c r="I17" s="9"/>
      <c r="J17">
        <v>128</v>
      </c>
      <c r="K17">
        <v>0.71</v>
      </c>
      <c r="L17" s="2">
        <v>0.8841</v>
      </c>
      <c r="M17" s="2">
        <v>1.2E-2</v>
      </c>
      <c r="N17" s="2">
        <v>0.1038</v>
      </c>
      <c r="O17">
        <v>7332504.6200000001</v>
      </c>
      <c r="P17" s="8"/>
      <c r="R17">
        <v>128</v>
      </c>
      <c r="S17">
        <v>0.71</v>
      </c>
      <c r="T17" s="2">
        <v>0.88319999999999999</v>
      </c>
      <c r="U17" s="2">
        <v>1.0999999999999999E-2</v>
      </c>
      <c r="V17" s="2">
        <v>0.10580000000000001</v>
      </c>
      <c r="W17">
        <v>7354926.7999999998</v>
      </c>
      <c r="X17" s="8"/>
    </row>
    <row r="18" spans="1:25" x14ac:dyDescent="0.2">
      <c r="A18" s="9"/>
      <c r="B18">
        <v>256</v>
      </c>
      <c r="C18">
        <v>1.31</v>
      </c>
      <c r="D18" s="2">
        <v>0.88270000000000004</v>
      </c>
      <c r="E18" s="2">
        <v>1.15E-2</v>
      </c>
      <c r="F18" s="2">
        <v>0.10580000000000001</v>
      </c>
      <c r="G18">
        <v>7950371.6739999996</v>
      </c>
      <c r="I18" s="9"/>
      <c r="J18">
        <v>256</v>
      </c>
      <c r="K18">
        <v>1.41</v>
      </c>
      <c r="L18" s="2">
        <v>0.88429999999999997</v>
      </c>
      <c r="M18" s="2">
        <v>1.23E-2</v>
      </c>
      <c r="N18" s="2">
        <v>0.10340000000000001</v>
      </c>
      <c r="O18">
        <v>7348568.6409999998</v>
      </c>
      <c r="P18" s="8"/>
      <c r="R18">
        <v>256</v>
      </c>
      <c r="S18">
        <v>1.44</v>
      </c>
      <c r="T18" s="2">
        <v>0.88349999999999995</v>
      </c>
      <c r="U18" s="2">
        <v>1.2E-2</v>
      </c>
      <c r="V18" s="2">
        <v>0.1045</v>
      </c>
      <c r="W18">
        <v>7226961.3509999998</v>
      </c>
      <c r="X18" s="8"/>
    </row>
    <row r="19" spans="1:25" x14ac:dyDescent="0.2">
      <c r="A19" s="9"/>
      <c r="B19">
        <v>512</v>
      </c>
      <c r="C19">
        <v>2.69</v>
      </c>
      <c r="D19" s="2">
        <v>0.88380000000000003</v>
      </c>
      <c r="E19" s="2">
        <v>1.12E-2</v>
      </c>
      <c r="F19" s="2">
        <v>0.1051</v>
      </c>
      <c r="G19">
        <v>7721579.943</v>
      </c>
      <c r="I19" s="9"/>
      <c r="J19">
        <v>512</v>
      </c>
      <c r="K19">
        <v>2.81</v>
      </c>
      <c r="L19" s="2">
        <v>0.88380000000000003</v>
      </c>
      <c r="M19" s="2">
        <v>1.23E-2</v>
      </c>
      <c r="N19" s="2">
        <v>0.104</v>
      </c>
      <c r="O19">
        <v>7395590.1330000004</v>
      </c>
      <c r="P19" s="8"/>
      <c r="R19">
        <v>512</v>
      </c>
      <c r="S19">
        <v>2.86</v>
      </c>
      <c r="T19" s="2">
        <v>0.88239999999999996</v>
      </c>
      <c r="U19" s="2">
        <v>1.2E-2</v>
      </c>
      <c r="V19" s="2">
        <v>0.1056</v>
      </c>
      <c r="W19">
        <v>7282411.5729999999</v>
      </c>
      <c r="X19" s="8"/>
    </row>
    <row r="20" spans="1:25" x14ac:dyDescent="0.2">
      <c r="A20" s="9"/>
      <c r="B20">
        <v>1024</v>
      </c>
      <c r="C20">
        <v>5.44</v>
      </c>
      <c r="D20" s="2">
        <v>0.8831</v>
      </c>
      <c r="E20" s="2">
        <v>1.17E-2</v>
      </c>
      <c r="F20" s="2">
        <v>0.1052</v>
      </c>
      <c r="G20">
        <v>7643901.1720000003</v>
      </c>
      <c r="I20" s="9"/>
      <c r="J20">
        <v>1024</v>
      </c>
      <c r="K20">
        <v>5.67</v>
      </c>
      <c r="L20" s="2">
        <v>0.88260000000000005</v>
      </c>
      <c r="M20" s="2">
        <v>1.3299999999999999E-2</v>
      </c>
      <c r="N20" s="2">
        <v>0.1041</v>
      </c>
      <c r="O20">
        <v>7336271.1799999997</v>
      </c>
      <c r="P20" s="8"/>
      <c r="R20">
        <v>1024</v>
      </c>
      <c r="S20">
        <v>5.73</v>
      </c>
      <c r="T20" s="2">
        <v>0.88360000000000005</v>
      </c>
      <c r="U20" s="2">
        <v>1.11E-2</v>
      </c>
      <c r="V20" s="2">
        <v>0.1052</v>
      </c>
      <c r="W20">
        <v>7259514.2029999997</v>
      </c>
      <c r="X20" s="8"/>
    </row>
    <row r="21" spans="1:25" x14ac:dyDescent="0.2">
      <c r="A21" s="9"/>
      <c r="B21">
        <v>2048</v>
      </c>
      <c r="C21">
        <v>11.11</v>
      </c>
      <c r="D21" s="2">
        <v>0.88370000000000004</v>
      </c>
      <c r="E21" s="2">
        <v>1.0999999999999999E-2</v>
      </c>
      <c r="F21" s="2">
        <v>0.1053</v>
      </c>
      <c r="G21">
        <v>7491842.409</v>
      </c>
      <c r="H21" t="s">
        <v>22</v>
      </c>
      <c r="I21" s="9"/>
      <c r="J21">
        <v>2048</v>
      </c>
      <c r="K21">
        <v>11.35</v>
      </c>
      <c r="L21" s="2">
        <v>0.88300000000000001</v>
      </c>
      <c r="M21" s="2">
        <v>1.2200000000000001E-2</v>
      </c>
      <c r="N21" s="2">
        <v>0.1048</v>
      </c>
      <c r="O21">
        <v>7331744.409</v>
      </c>
      <c r="P21" s="8" t="s">
        <v>21</v>
      </c>
      <c r="R21">
        <v>2048</v>
      </c>
      <c r="S21">
        <v>11.41</v>
      </c>
      <c r="T21" s="2">
        <v>0.88419999999999999</v>
      </c>
      <c r="U21" s="2">
        <v>1.0500000000000001E-2</v>
      </c>
      <c r="V21" s="2">
        <v>0.1053</v>
      </c>
      <c r="W21">
        <v>7292167.4000000004</v>
      </c>
      <c r="X21" s="8" t="s">
        <v>16</v>
      </c>
    </row>
    <row r="22" spans="1:25" x14ac:dyDescent="0.2">
      <c r="A22" s="9"/>
      <c r="B22">
        <v>128</v>
      </c>
      <c r="C22">
        <v>0.7</v>
      </c>
      <c r="D22" s="2">
        <v>0.88249999999999995</v>
      </c>
      <c r="E22" s="2">
        <v>1.2200000000000001E-2</v>
      </c>
      <c r="F22" s="2">
        <v>0.1053</v>
      </c>
      <c r="G22">
        <v>7390032.6780000003</v>
      </c>
      <c r="I22" s="9"/>
      <c r="J22">
        <v>128</v>
      </c>
      <c r="K22">
        <v>0.72</v>
      </c>
      <c r="L22" s="2">
        <v>0.88429999999999997</v>
      </c>
      <c r="M22" s="2">
        <v>1.0699999999999999E-2</v>
      </c>
      <c r="N22" s="2">
        <v>0.105</v>
      </c>
      <c r="O22">
        <v>7272386.3459999999</v>
      </c>
      <c r="P22" s="8"/>
      <c r="R22">
        <v>128</v>
      </c>
      <c r="S22">
        <v>0.71</v>
      </c>
      <c r="T22" s="2">
        <v>0.88360000000000005</v>
      </c>
      <c r="U22" s="2">
        <v>1.0500000000000001E-2</v>
      </c>
      <c r="V22" s="2">
        <v>0.10589999999999999</v>
      </c>
      <c r="W22">
        <v>7325764.2419999996</v>
      </c>
      <c r="X22" s="8"/>
    </row>
    <row r="23" spans="1:25" x14ac:dyDescent="0.2">
      <c r="A23" s="9"/>
      <c r="B23">
        <v>256</v>
      </c>
      <c r="C23">
        <v>1.39</v>
      </c>
      <c r="D23" s="2">
        <v>0.88219999999999998</v>
      </c>
      <c r="E23" s="2">
        <v>1.18E-2</v>
      </c>
      <c r="F23" s="2">
        <v>0.106</v>
      </c>
      <c r="G23">
        <v>7509111.943</v>
      </c>
      <c r="I23" s="9"/>
      <c r="J23">
        <v>256</v>
      </c>
      <c r="K23">
        <v>1.41</v>
      </c>
      <c r="L23" s="2">
        <v>0.88370000000000004</v>
      </c>
      <c r="M23" s="2">
        <v>1.04E-2</v>
      </c>
      <c r="N23" s="2">
        <v>0.10589999999999999</v>
      </c>
      <c r="O23">
        <v>7391452.807</v>
      </c>
      <c r="P23" s="8"/>
      <c r="R23">
        <v>256</v>
      </c>
      <c r="S23">
        <v>1.42</v>
      </c>
      <c r="T23" s="2">
        <v>0.88249999999999995</v>
      </c>
      <c r="U23" s="2">
        <v>1.0500000000000001E-2</v>
      </c>
      <c r="V23" s="2">
        <v>0.1069</v>
      </c>
      <c r="W23">
        <v>7364633.2779999999</v>
      </c>
      <c r="X23" s="8"/>
    </row>
    <row r="24" spans="1:25" x14ac:dyDescent="0.2">
      <c r="A24" s="9"/>
      <c r="B24">
        <v>512</v>
      </c>
      <c r="C24">
        <v>2.82</v>
      </c>
      <c r="D24" s="2">
        <v>0.88260000000000005</v>
      </c>
      <c r="E24" s="2">
        <v>1.18E-2</v>
      </c>
      <c r="F24" s="2">
        <v>0.1056</v>
      </c>
      <c r="G24">
        <v>7387358.216</v>
      </c>
      <c r="I24" s="9"/>
      <c r="J24">
        <v>512</v>
      </c>
      <c r="K24">
        <v>2.88</v>
      </c>
      <c r="L24" s="2">
        <v>0.88380000000000003</v>
      </c>
      <c r="M24" s="2">
        <v>1.21E-2</v>
      </c>
      <c r="N24" s="2">
        <v>0.1042</v>
      </c>
      <c r="O24">
        <v>7213528.1550000003</v>
      </c>
      <c r="P24" s="8"/>
      <c r="R24">
        <v>512</v>
      </c>
      <c r="S24">
        <v>2.84</v>
      </c>
      <c r="T24" s="2">
        <v>0.88360000000000005</v>
      </c>
      <c r="U24" s="2">
        <v>1.04E-2</v>
      </c>
      <c r="V24" s="2">
        <v>0.106</v>
      </c>
      <c r="W24">
        <v>7328071.1950000003</v>
      </c>
      <c r="X24" s="8"/>
    </row>
    <row r="25" spans="1:25" x14ac:dyDescent="0.2">
      <c r="A25" s="9"/>
      <c r="B25">
        <v>1024</v>
      </c>
      <c r="C25">
        <v>5.6</v>
      </c>
      <c r="D25" s="2">
        <v>0.88239999999999996</v>
      </c>
      <c r="E25" s="2">
        <v>1.18E-2</v>
      </c>
      <c r="F25" s="2">
        <v>0.10580000000000001</v>
      </c>
      <c r="G25">
        <v>7436459.034</v>
      </c>
      <c r="I25" s="9"/>
      <c r="J25">
        <v>1024</v>
      </c>
      <c r="K25">
        <v>5.67</v>
      </c>
      <c r="L25" s="2">
        <v>0.88300000000000001</v>
      </c>
      <c r="M25" s="2">
        <v>1.21E-2</v>
      </c>
      <c r="N25" s="2">
        <v>0.10489999999999999</v>
      </c>
      <c r="O25">
        <v>7335451.6569999997</v>
      </c>
      <c r="P25" s="8"/>
      <c r="R25">
        <v>1024</v>
      </c>
      <c r="S25">
        <v>5.84</v>
      </c>
      <c r="T25" s="2">
        <v>0.88300000000000001</v>
      </c>
      <c r="U25" s="2">
        <v>1.03E-2</v>
      </c>
      <c r="V25" s="2">
        <v>0.1067</v>
      </c>
      <c r="W25">
        <v>7142290.7000000002</v>
      </c>
      <c r="X25" s="8"/>
    </row>
    <row r="26" spans="1:25" ht="17" thickBot="1" x14ac:dyDescent="0.25">
      <c r="A26" s="10"/>
      <c r="B26" s="11">
        <v>2048</v>
      </c>
      <c r="C26" s="11">
        <v>11.28</v>
      </c>
      <c r="D26" s="12">
        <v>0.88290000000000002</v>
      </c>
      <c r="E26" s="12">
        <v>1.11E-2</v>
      </c>
      <c r="F26" s="12">
        <v>0.106</v>
      </c>
      <c r="G26" s="11">
        <v>7386482.5449999999</v>
      </c>
      <c r="H26" s="11" t="s">
        <v>20</v>
      </c>
      <c r="I26" s="10"/>
      <c r="J26" s="11">
        <v>2048</v>
      </c>
      <c r="K26" s="11">
        <v>11.47</v>
      </c>
      <c r="L26" s="12">
        <v>0.88360000000000005</v>
      </c>
      <c r="M26" s="12">
        <v>1.1900000000000001E-2</v>
      </c>
      <c r="N26" s="12">
        <v>0.1045</v>
      </c>
      <c r="O26" s="11">
        <v>7250915.6969999997</v>
      </c>
      <c r="P26" s="13" t="s">
        <v>19</v>
      </c>
      <c r="Q26" s="11"/>
      <c r="R26" s="11">
        <v>2048</v>
      </c>
      <c r="S26" s="11">
        <v>11.78</v>
      </c>
      <c r="T26" s="12">
        <v>0.8831</v>
      </c>
      <c r="U26" s="12">
        <v>1.03E-2</v>
      </c>
      <c r="V26" s="12">
        <v>0.1065</v>
      </c>
      <c r="W26" s="11">
        <v>7076744.0619999999</v>
      </c>
      <c r="X26" s="13" t="s">
        <v>16</v>
      </c>
    </row>
    <row r="28" spans="1:25" ht="17" thickBot="1" x14ac:dyDescent="0.25"/>
    <row r="29" spans="1:25" ht="17" thickBot="1" x14ac:dyDescent="0.25">
      <c r="A29" s="3" t="s">
        <v>51</v>
      </c>
      <c r="B29" s="4" t="s">
        <v>6</v>
      </c>
      <c r="C29" s="4" t="s">
        <v>5</v>
      </c>
      <c r="D29" s="19" t="s">
        <v>4</v>
      </c>
      <c r="E29" s="19" t="s">
        <v>3</v>
      </c>
      <c r="F29" s="19" t="s">
        <v>2</v>
      </c>
      <c r="G29" s="4" t="s">
        <v>1</v>
      </c>
      <c r="H29" s="4" t="s">
        <v>48</v>
      </c>
      <c r="I29" s="3" t="s">
        <v>51</v>
      </c>
      <c r="J29" s="4" t="s">
        <v>6</v>
      </c>
      <c r="K29" s="4" t="s">
        <v>5</v>
      </c>
      <c r="L29" s="19" t="s">
        <v>4</v>
      </c>
      <c r="M29" s="19" t="s">
        <v>3</v>
      </c>
      <c r="N29" s="19" t="s">
        <v>2</v>
      </c>
      <c r="O29" s="4" t="s">
        <v>1</v>
      </c>
      <c r="P29" s="6" t="s">
        <v>48</v>
      </c>
      <c r="Q29" s="5" t="s">
        <v>51</v>
      </c>
      <c r="R29" s="4" t="s">
        <v>6</v>
      </c>
      <c r="S29" s="4" t="s">
        <v>5</v>
      </c>
      <c r="T29" s="19" t="s">
        <v>4</v>
      </c>
      <c r="U29" s="19" t="s">
        <v>3</v>
      </c>
      <c r="V29" s="19" t="s">
        <v>2</v>
      </c>
      <c r="W29" s="4" t="s">
        <v>1</v>
      </c>
      <c r="X29" s="6" t="s">
        <v>48</v>
      </c>
      <c r="Y29" t="s">
        <v>46</v>
      </c>
    </row>
    <row r="30" spans="1:25" x14ac:dyDescent="0.2">
      <c r="A30" s="28" t="s">
        <v>52</v>
      </c>
      <c r="B30" s="29">
        <v>2048</v>
      </c>
      <c r="C30" s="29">
        <v>9.98</v>
      </c>
      <c r="D30" s="30">
        <v>0.88339999999999996</v>
      </c>
      <c r="E30" s="30">
        <v>1.1299999999999999E-2</v>
      </c>
      <c r="F30" s="30">
        <v>0.1053</v>
      </c>
      <c r="G30" s="29">
        <v>8335805.0159999998</v>
      </c>
      <c r="H30" s="31">
        <v>55</v>
      </c>
      <c r="I30" s="28" t="s">
        <v>53</v>
      </c>
      <c r="J30" s="29">
        <v>2048</v>
      </c>
      <c r="K30" s="29">
        <v>10.64</v>
      </c>
      <c r="L30" s="30">
        <v>0.88190000000000002</v>
      </c>
      <c r="M30" s="30">
        <v>1.23E-2</v>
      </c>
      <c r="N30" s="30">
        <v>0.10580000000000001</v>
      </c>
      <c r="O30" s="29">
        <v>7824229.3720000004</v>
      </c>
      <c r="P30" s="31">
        <v>39</v>
      </c>
      <c r="Q30" s="28" t="s">
        <v>54</v>
      </c>
      <c r="R30" s="29">
        <v>2048</v>
      </c>
      <c r="S30" s="29">
        <v>10.91</v>
      </c>
      <c r="T30" s="30">
        <v>0.88370000000000004</v>
      </c>
      <c r="U30" s="30">
        <v>1.0500000000000001E-2</v>
      </c>
      <c r="V30" s="30">
        <v>0.10580000000000001</v>
      </c>
      <c r="W30" s="29">
        <v>7630510.2860000003</v>
      </c>
      <c r="X30" s="31">
        <v>21</v>
      </c>
    </row>
    <row r="31" spans="1:25" x14ac:dyDescent="0.2">
      <c r="A31" s="7"/>
      <c r="B31">
        <v>2048</v>
      </c>
      <c r="C31">
        <v>11.01</v>
      </c>
      <c r="D31" s="2">
        <v>0.88390000000000002</v>
      </c>
      <c r="E31" s="2">
        <v>1.09E-2</v>
      </c>
      <c r="F31" s="2">
        <v>0.1052</v>
      </c>
      <c r="G31">
        <v>7555790.0130000003</v>
      </c>
      <c r="H31" s="8">
        <v>30</v>
      </c>
      <c r="I31" s="9"/>
      <c r="J31">
        <v>2048</v>
      </c>
      <c r="K31">
        <v>11.14</v>
      </c>
      <c r="L31" s="2">
        <v>0.88290000000000002</v>
      </c>
      <c r="M31" s="2">
        <v>1.24E-2</v>
      </c>
      <c r="N31" s="2">
        <v>0.1047</v>
      </c>
      <c r="O31">
        <v>7466537.574</v>
      </c>
      <c r="P31" s="8">
        <v>41</v>
      </c>
      <c r="Q31" s="9"/>
      <c r="R31">
        <v>2048</v>
      </c>
      <c r="S31">
        <v>11.23</v>
      </c>
      <c r="T31" s="2">
        <v>0.88380000000000003</v>
      </c>
      <c r="U31" s="2">
        <v>1.06E-2</v>
      </c>
      <c r="V31" s="2">
        <v>0.1056</v>
      </c>
      <c r="W31">
        <v>7415188.4479999999</v>
      </c>
      <c r="X31" s="8">
        <v>23</v>
      </c>
    </row>
    <row r="32" spans="1:25" x14ac:dyDescent="0.2">
      <c r="A32" s="7"/>
      <c r="B32">
        <v>2048</v>
      </c>
      <c r="C32">
        <v>11.11</v>
      </c>
      <c r="D32" s="2">
        <v>0.88249999999999995</v>
      </c>
      <c r="E32" s="2">
        <v>1.1599999999999999E-2</v>
      </c>
      <c r="F32" s="2">
        <v>0.10589999999999999</v>
      </c>
      <c r="G32">
        <v>7493506.29</v>
      </c>
      <c r="H32" s="8">
        <v>36</v>
      </c>
      <c r="I32" s="9"/>
      <c r="J32">
        <v>2048</v>
      </c>
      <c r="K32">
        <v>11.13</v>
      </c>
      <c r="L32" s="2">
        <v>0.88270000000000004</v>
      </c>
      <c r="M32" s="2">
        <v>1.0999999999999999E-2</v>
      </c>
      <c r="N32" s="2">
        <v>0.10630000000000001</v>
      </c>
      <c r="O32">
        <v>7485118.2759999996</v>
      </c>
      <c r="P32" s="8">
        <v>32</v>
      </c>
      <c r="Q32" s="9"/>
      <c r="R32">
        <v>2048</v>
      </c>
      <c r="S32">
        <v>11.38</v>
      </c>
      <c r="T32" s="2">
        <v>0.88460000000000005</v>
      </c>
      <c r="U32" s="2">
        <v>1.1299999999999999E-2</v>
      </c>
      <c r="V32" s="2">
        <v>0.1041</v>
      </c>
      <c r="W32">
        <v>7301759.6619999995</v>
      </c>
      <c r="X32" s="8">
        <v>23</v>
      </c>
    </row>
    <row r="33" spans="1:25" x14ac:dyDescent="0.2">
      <c r="A33" s="9"/>
      <c r="B33">
        <v>2048</v>
      </c>
      <c r="C33">
        <v>11.11</v>
      </c>
      <c r="D33" s="2">
        <v>0.88370000000000004</v>
      </c>
      <c r="E33" s="2">
        <v>1.0999999999999999E-2</v>
      </c>
      <c r="F33" s="2">
        <v>0.1053</v>
      </c>
      <c r="G33">
        <v>7491842.409</v>
      </c>
      <c r="H33" s="8">
        <v>50</v>
      </c>
      <c r="I33" s="9"/>
      <c r="J33">
        <v>2048</v>
      </c>
      <c r="K33">
        <v>11.35</v>
      </c>
      <c r="L33" s="2">
        <v>0.88300000000000001</v>
      </c>
      <c r="M33" s="2">
        <v>1.2200000000000001E-2</v>
      </c>
      <c r="N33" s="2">
        <v>0.1048</v>
      </c>
      <c r="O33">
        <v>7331744.409</v>
      </c>
      <c r="P33" s="8">
        <v>40</v>
      </c>
      <c r="Q33" s="9"/>
      <c r="R33">
        <v>2048</v>
      </c>
      <c r="S33">
        <v>11.41</v>
      </c>
      <c r="T33" s="2">
        <v>0.88419999999999999</v>
      </c>
      <c r="U33" s="2">
        <v>1.0500000000000001E-2</v>
      </c>
      <c r="V33" s="2">
        <v>0.1053</v>
      </c>
      <c r="W33">
        <v>7292167.4000000004</v>
      </c>
      <c r="X33" s="8">
        <v>23</v>
      </c>
    </row>
    <row r="34" spans="1:25" ht="17" thickBot="1" x14ac:dyDescent="0.25">
      <c r="A34" s="10"/>
      <c r="B34" s="11">
        <v>2048</v>
      </c>
      <c r="C34" s="11">
        <v>11.28</v>
      </c>
      <c r="D34" s="12">
        <v>0.88290000000000002</v>
      </c>
      <c r="E34" s="12">
        <v>1.11E-2</v>
      </c>
      <c r="F34" s="12">
        <v>0.106</v>
      </c>
      <c r="G34" s="11">
        <v>7386482.5449999999</v>
      </c>
      <c r="H34" s="13">
        <v>39</v>
      </c>
      <c r="I34" s="10"/>
      <c r="J34" s="11">
        <v>2048</v>
      </c>
      <c r="K34" s="11">
        <v>11.47</v>
      </c>
      <c r="L34" s="12">
        <v>0.88360000000000005</v>
      </c>
      <c r="M34" s="12">
        <v>1.1900000000000001E-2</v>
      </c>
      <c r="N34" s="12">
        <v>0.1045</v>
      </c>
      <c r="O34" s="11">
        <v>7250915.6969999997</v>
      </c>
      <c r="P34" s="13">
        <v>41</v>
      </c>
      <c r="Q34" s="10"/>
      <c r="R34" s="11">
        <v>2048</v>
      </c>
      <c r="S34" s="11">
        <v>11.78</v>
      </c>
      <c r="T34" s="12">
        <v>0.8831</v>
      </c>
      <c r="U34" s="12">
        <v>1.03E-2</v>
      </c>
      <c r="V34" s="12">
        <v>0.1065</v>
      </c>
      <c r="W34" s="11">
        <v>7076744.0619999999</v>
      </c>
      <c r="X34" s="13">
        <v>23</v>
      </c>
    </row>
    <row r="35" spans="1:25" x14ac:dyDescent="0.2">
      <c r="A35" s="16" t="s">
        <v>47</v>
      </c>
      <c r="B35" s="17">
        <f>AVERAGE(B30:B34)</f>
        <v>2048</v>
      </c>
      <c r="C35" s="17">
        <f t="shared" ref="C35:X35" si="0">AVERAGE(C30:C34)</f>
        <v>10.898</v>
      </c>
      <c r="D35" s="18">
        <f t="shared" si="0"/>
        <v>0.88328000000000007</v>
      </c>
      <c r="E35" s="18">
        <f t="shared" si="0"/>
        <v>1.1179999999999999E-2</v>
      </c>
      <c r="F35" s="18">
        <f t="shared" si="0"/>
        <v>0.10554000000000001</v>
      </c>
      <c r="G35" s="17">
        <f t="shared" si="0"/>
        <v>7652685.2546000006</v>
      </c>
      <c r="H35" s="17">
        <f t="shared" si="0"/>
        <v>42</v>
      </c>
      <c r="I35" s="17"/>
      <c r="J35" s="17">
        <f t="shared" si="0"/>
        <v>2048</v>
      </c>
      <c r="K35" s="17">
        <f t="shared" si="0"/>
        <v>11.146000000000001</v>
      </c>
      <c r="L35" s="18">
        <f t="shared" si="0"/>
        <v>0.88282000000000005</v>
      </c>
      <c r="M35" s="18">
        <f t="shared" si="0"/>
        <v>1.196E-2</v>
      </c>
      <c r="N35" s="18">
        <f t="shared" si="0"/>
        <v>0.10522000000000001</v>
      </c>
      <c r="O35" s="17">
        <f t="shared" si="0"/>
        <v>7471709.0655999985</v>
      </c>
      <c r="P35" s="17">
        <f t="shared" si="0"/>
        <v>38.6</v>
      </c>
      <c r="Q35" s="17"/>
      <c r="R35" s="17">
        <f t="shared" si="0"/>
        <v>2048</v>
      </c>
      <c r="S35" s="17">
        <f t="shared" si="0"/>
        <v>11.342000000000002</v>
      </c>
      <c r="T35" s="18">
        <f t="shared" si="0"/>
        <v>0.88387999999999989</v>
      </c>
      <c r="U35" s="18">
        <f t="shared" si="0"/>
        <v>1.064E-2</v>
      </c>
      <c r="V35" s="18">
        <f t="shared" si="0"/>
        <v>0.10546</v>
      </c>
      <c r="W35" s="17">
        <f t="shared" si="0"/>
        <v>7343273.9716000007</v>
      </c>
      <c r="X35" s="17">
        <f t="shared" si="0"/>
        <v>22.6</v>
      </c>
    </row>
    <row r="36" spans="1:25" x14ac:dyDescent="0.2">
      <c r="A36" s="20" t="s">
        <v>49</v>
      </c>
      <c r="B36" s="21">
        <f>STDEV(B30:B34)</f>
        <v>0</v>
      </c>
      <c r="C36" s="21">
        <f t="shared" ref="C36:X36" si="1">STDEV(C30:C34)</f>
        <v>0.52227387451412843</v>
      </c>
      <c r="D36" s="22">
        <f t="shared" si="1"/>
        <v>5.7619441163554155E-4</v>
      </c>
      <c r="E36" s="22">
        <f t="shared" si="1"/>
        <v>2.7748873851023186E-4</v>
      </c>
      <c r="F36" s="22">
        <f t="shared" si="1"/>
        <v>3.7815340802377655E-4</v>
      </c>
      <c r="G36" s="21">
        <f t="shared" si="1"/>
        <v>386689.00379055599</v>
      </c>
      <c r="H36" s="21">
        <f t="shared" si="1"/>
        <v>10.271319292087069</v>
      </c>
      <c r="I36" s="21"/>
      <c r="J36" s="21">
        <f t="shared" si="1"/>
        <v>0</v>
      </c>
      <c r="K36" s="21">
        <f>STDEV(K30:K34)</f>
        <v>0.31737989854431536</v>
      </c>
      <c r="L36" s="22">
        <f t="shared" si="1"/>
        <v>6.1400325732035926E-4</v>
      </c>
      <c r="M36" s="22">
        <f t="shared" si="1"/>
        <v>5.6833088953531317E-4</v>
      </c>
      <c r="N36" s="22">
        <f t="shared" si="1"/>
        <v>7.8549347546622234E-4</v>
      </c>
      <c r="O36" s="21">
        <f t="shared" si="1"/>
        <v>219554.6255423477</v>
      </c>
      <c r="P36" s="21">
        <f t="shared" si="1"/>
        <v>3.7815340802378072</v>
      </c>
      <c r="Q36" s="21"/>
      <c r="R36" s="21">
        <f t="shared" si="1"/>
        <v>0</v>
      </c>
      <c r="S36" s="21">
        <f t="shared" si="1"/>
        <v>0.3150714204747867</v>
      </c>
      <c r="T36" s="22">
        <f t="shared" si="1"/>
        <v>5.6302753041038186E-4</v>
      </c>
      <c r="U36" s="22">
        <f t="shared" si="1"/>
        <v>3.8470768123342647E-4</v>
      </c>
      <c r="V36" s="22">
        <f t="shared" si="1"/>
        <v>8.7920418561333099E-4</v>
      </c>
      <c r="W36" s="21">
        <f t="shared" si="1"/>
        <v>201897.19196885626</v>
      </c>
      <c r="X36" s="21">
        <f t="shared" si="1"/>
        <v>0.89442719099991586</v>
      </c>
    </row>
    <row r="38" spans="1:25" ht="17" thickBot="1" x14ac:dyDescent="0.25"/>
    <row r="39" spans="1:25" ht="17" thickBot="1" x14ac:dyDescent="0.25">
      <c r="A39" s="3" t="s">
        <v>51</v>
      </c>
      <c r="B39" s="4" t="s">
        <v>6</v>
      </c>
      <c r="C39" s="4" t="s">
        <v>5</v>
      </c>
      <c r="D39" s="19" t="s">
        <v>4</v>
      </c>
      <c r="E39" s="19" t="s">
        <v>3</v>
      </c>
      <c r="F39" s="19" t="s">
        <v>2</v>
      </c>
      <c r="G39" s="4" t="s">
        <v>1</v>
      </c>
      <c r="H39" s="4" t="s">
        <v>48</v>
      </c>
      <c r="I39" s="3" t="s">
        <v>51</v>
      </c>
      <c r="J39" s="4" t="s">
        <v>6</v>
      </c>
      <c r="K39" s="4" t="s">
        <v>5</v>
      </c>
      <c r="L39" s="19" t="s">
        <v>4</v>
      </c>
      <c r="M39" s="19" t="s">
        <v>3</v>
      </c>
      <c r="N39" s="19" t="s">
        <v>2</v>
      </c>
      <c r="O39" s="4" t="s">
        <v>1</v>
      </c>
      <c r="P39" s="6" t="s">
        <v>48</v>
      </c>
      <c r="Q39" s="5" t="s">
        <v>51</v>
      </c>
      <c r="R39" s="4" t="s">
        <v>6</v>
      </c>
      <c r="S39" s="4" t="s">
        <v>5</v>
      </c>
      <c r="T39" s="19" t="s">
        <v>4</v>
      </c>
      <c r="U39" s="19" t="s">
        <v>3</v>
      </c>
      <c r="V39" s="19" t="s">
        <v>2</v>
      </c>
      <c r="W39" s="4" t="s">
        <v>1</v>
      </c>
      <c r="X39" s="6" t="s">
        <v>48</v>
      </c>
      <c r="Y39" s="2" t="s">
        <v>50</v>
      </c>
    </row>
    <row r="40" spans="1:25" x14ac:dyDescent="0.2">
      <c r="A40" s="28" t="s">
        <v>52</v>
      </c>
      <c r="B40" s="29">
        <v>2048</v>
      </c>
      <c r="C40" s="29">
        <f>IF(ABS(C30-C$35) &lt;= 3*C$36,C30,"")</f>
        <v>9.98</v>
      </c>
      <c r="D40" s="30">
        <f t="shared" ref="D40:X44" si="2">IF(ABS(D30-D$35) &lt;= 3*D$36,D30,"")</f>
        <v>0.88339999999999996</v>
      </c>
      <c r="E40" s="30">
        <f t="shared" si="2"/>
        <v>1.1299999999999999E-2</v>
      </c>
      <c r="F40" s="30">
        <f t="shared" si="2"/>
        <v>0.1053</v>
      </c>
      <c r="G40" s="29">
        <f t="shared" si="2"/>
        <v>8335805.0159999998</v>
      </c>
      <c r="H40" s="31">
        <f t="shared" si="2"/>
        <v>55</v>
      </c>
      <c r="I40" s="28" t="s">
        <v>53</v>
      </c>
      <c r="J40" s="29">
        <f t="shared" si="2"/>
        <v>2048</v>
      </c>
      <c r="K40" s="29">
        <f t="shared" si="2"/>
        <v>10.64</v>
      </c>
      <c r="L40" s="30">
        <f t="shared" si="2"/>
        <v>0.88190000000000002</v>
      </c>
      <c r="M40" s="30">
        <f t="shared" si="2"/>
        <v>1.23E-2</v>
      </c>
      <c r="N40" s="30">
        <f t="shared" si="2"/>
        <v>0.10580000000000001</v>
      </c>
      <c r="O40" s="29">
        <f t="shared" si="2"/>
        <v>7824229.3720000004</v>
      </c>
      <c r="P40" s="31">
        <f t="shared" si="2"/>
        <v>39</v>
      </c>
      <c r="Q40" s="29" t="s">
        <v>54</v>
      </c>
      <c r="R40" s="29">
        <f t="shared" si="2"/>
        <v>2048</v>
      </c>
      <c r="S40" s="29">
        <f t="shared" si="2"/>
        <v>10.91</v>
      </c>
      <c r="T40" s="30">
        <f t="shared" si="2"/>
        <v>0.88370000000000004</v>
      </c>
      <c r="U40" s="30">
        <f t="shared" si="2"/>
        <v>1.0500000000000001E-2</v>
      </c>
      <c r="V40" s="30">
        <f t="shared" si="2"/>
        <v>0.10580000000000001</v>
      </c>
      <c r="W40" s="29">
        <f t="shared" si="2"/>
        <v>7630510.2860000003</v>
      </c>
      <c r="X40" s="31">
        <f t="shared" si="2"/>
        <v>21</v>
      </c>
    </row>
    <row r="41" spans="1:25" x14ac:dyDescent="0.2">
      <c r="A41" s="9"/>
      <c r="B41">
        <v>2048</v>
      </c>
      <c r="C41">
        <f t="shared" ref="C41:R44" si="3">IF(ABS(C31-C$35) &lt;= 3*C$36,C31,"")</f>
        <v>11.01</v>
      </c>
      <c r="D41" s="2">
        <f t="shared" si="3"/>
        <v>0.88390000000000002</v>
      </c>
      <c r="E41" s="2">
        <f t="shared" si="3"/>
        <v>1.09E-2</v>
      </c>
      <c r="F41" s="2">
        <f t="shared" si="3"/>
        <v>0.1052</v>
      </c>
      <c r="G41">
        <f t="shared" si="3"/>
        <v>7555790.0130000003</v>
      </c>
      <c r="H41" s="8">
        <f t="shared" si="3"/>
        <v>30</v>
      </c>
      <c r="I41" s="9"/>
      <c r="J41">
        <f t="shared" si="3"/>
        <v>2048</v>
      </c>
      <c r="K41">
        <f t="shared" si="3"/>
        <v>11.14</v>
      </c>
      <c r="L41" s="2">
        <f t="shared" si="3"/>
        <v>0.88290000000000002</v>
      </c>
      <c r="M41" s="2">
        <f t="shared" si="3"/>
        <v>1.24E-2</v>
      </c>
      <c r="N41" s="2">
        <f t="shared" si="3"/>
        <v>0.1047</v>
      </c>
      <c r="O41">
        <f t="shared" si="3"/>
        <v>7466537.574</v>
      </c>
      <c r="P41" s="8">
        <f t="shared" si="3"/>
        <v>41</v>
      </c>
      <c r="R41">
        <f t="shared" si="3"/>
        <v>2048</v>
      </c>
      <c r="S41">
        <f t="shared" si="2"/>
        <v>11.23</v>
      </c>
      <c r="T41" s="2">
        <f t="shared" si="2"/>
        <v>0.88380000000000003</v>
      </c>
      <c r="U41" s="2">
        <f t="shared" si="2"/>
        <v>1.06E-2</v>
      </c>
      <c r="V41" s="2">
        <f t="shared" si="2"/>
        <v>0.1056</v>
      </c>
      <c r="W41">
        <f t="shared" si="2"/>
        <v>7415188.4479999999</v>
      </c>
      <c r="X41" s="8">
        <f t="shared" si="2"/>
        <v>23</v>
      </c>
    </row>
    <row r="42" spans="1:25" x14ac:dyDescent="0.2">
      <c r="A42" s="7"/>
      <c r="B42">
        <v>2048</v>
      </c>
      <c r="C42">
        <f t="shared" si="3"/>
        <v>11.11</v>
      </c>
      <c r="D42" s="2">
        <f t="shared" si="2"/>
        <v>0.88249999999999995</v>
      </c>
      <c r="E42" s="2">
        <f t="shared" si="2"/>
        <v>1.1599999999999999E-2</v>
      </c>
      <c r="F42" s="2">
        <f t="shared" si="2"/>
        <v>0.10589999999999999</v>
      </c>
      <c r="G42">
        <f t="shared" si="2"/>
        <v>7493506.29</v>
      </c>
      <c r="H42" s="8">
        <f t="shared" si="2"/>
        <v>36</v>
      </c>
      <c r="I42" s="9"/>
      <c r="J42">
        <f t="shared" si="2"/>
        <v>2048</v>
      </c>
      <c r="K42">
        <f>IF(ABS(K32-K$35) &lt;= 3*K$36,K32,"")</f>
        <v>11.13</v>
      </c>
      <c r="L42" s="2">
        <f t="shared" si="2"/>
        <v>0.88270000000000004</v>
      </c>
      <c r="M42" s="2">
        <f t="shared" si="2"/>
        <v>1.0999999999999999E-2</v>
      </c>
      <c r="N42" s="2">
        <f t="shared" si="2"/>
        <v>0.10630000000000001</v>
      </c>
      <c r="O42">
        <f t="shared" si="2"/>
        <v>7485118.2759999996</v>
      </c>
      <c r="P42" s="8">
        <f t="shared" si="2"/>
        <v>32</v>
      </c>
      <c r="R42">
        <f t="shared" si="2"/>
        <v>2048</v>
      </c>
      <c r="S42">
        <f t="shared" si="2"/>
        <v>11.38</v>
      </c>
      <c r="T42" s="2">
        <f t="shared" si="2"/>
        <v>0.88460000000000005</v>
      </c>
      <c r="U42" s="2">
        <f t="shared" si="2"/>
        <v>1.1299999999999999E-2</v>
      </c>
      <c r="V42" s="2">
        <f t="shared" si="2"/>
        <v>0.1041</v>
      </c>
      <c r="W42">
        <f t="shared" si="2"/>
        <v>7301759.6619999995</v>
      </c>
      <c r="X42" s="8">
        <f t="shared" si="2"/>
        <v>23</v>
      </c>
    </row>
    <row r="43" spans="1:25" x14ac:dyDescent="0.2">
      <c r="A43" s="9"/>
      <c r="B43">
        <v>2048</v>
      </c>
      <c r="C43">
        <f t="shared" si="3"/>
        <v>11.11</v>
      </c>
      <c r="D43" s="2">
        <f t="shared" si="2"/>
        <v>0.88370000000000004</v>
      </c>
      <c r="E43" s="2">
        <f t="shared" si="2"/>
        <v>1.0999999999999999E-2</v>
      </c>
      <c r="F43" s="2">
        <f t="shared" si="2"/>
        <v>0.1053</v>
      </c>
      <c r="G43">
        <f t="shared" si="2"/>
        <v>7491842.409</v>
      </c>
      <c r="H43" s="8">
        <f t="shared" si="2"/>
        <v>50</v>
      </c>
      <c r="I43" s="9"/>
      <c r="J43">
        <f t="shared" si="2"/>
        <v>2048</v>
      </c>
      <c r="K43">
        <f t="shared" si="2"/>
        <v>11.35</v>
      </c>
      <c r="L43" s="2">
        <f t="shared" si="2"/>
        <v>0.88300000000000001</v>
      </c>
      <c r="M43" s="2">
        <f t="shared" si="2"/>
        <v>1.2200000000000001E-2</v>
      </c>
      <c r="N43" s="2">
        <f t="shared" si="2"/>
        <v>0.1048</v>
      </c>
      <c r="O43">
        <f t="shared" si="2"/>
        <v>7331744.409</v>
      </c>
      <c r="P43" s="8">
        <f t="shared" si="2"/>
        <v>40</v>
      </c>
      <c r="R43">
        <f t="shared" si="2"/>
        <v>2048</v>
      </c>
      <c r="S43">
        <f t="shared" si="2"/>
        <v>11.41</v>
      </c>
      <c r="T43" s="2">
        <f t="shared" si="2"/>
        <v>0.88419999999999999</v>
      </c>
      <c r="U43" s="2">
        <f t="shared" si="2"/>
        <v>1.0500000000000001E-2</v>
      </c>
      <c r="V43" s="2">
        <f t="shared" si="2"/>
        <v>0.1053</v>
      </c>
      <c r="W43">
        <f t="shared" si="2"/>
        <v>7292167.4000000004</v>
      </c>
      <c r="X43" s="8">
        <f t="shared" si="2"/>
        <v>23</v>
      </c>
    </row>
    <row r="44" spans="1:25" ht="17" thickBot="1" x14ac:dyDescent="0.25">
      <c r="A44" s="10"/>
      <c r="B44" s="11">
        <v>2048</v>
      </c>
      <c r="C44" s="11">
        <f t="shared" si="3"/>
        <v>11.28</v>
      </c>
      <c r="D44" s="12">
        <f>IF(ABS(D34-D$35) &lt;= 3*D$36,D34,"")</f>
        <v>0.88290000000000002</v>
      </c>
      <c r="E44" s="12">
        <f t="shared" si="2"/>
        <v>1.11E-2</v>
      </c>
      <c r="F44" s="12">
        <f t="shared" si="2"/>
        <v>0.106</v>
      </c>
      <c r="G44" s="11">
        <f t="shared" si="2"/>
        <v>7386482.5449999999</v>
      </c>
      <c r="H44" s="13">
        <f t="shared" si="2"/>
        <v>39</v>
      </c>
      <c r="I44" s="10"/>
      <c r="J44" s="11">
        <f t="shared" si="2"/>
        <v>2048</v>
      </c>
      <c r="K44" s="11">
        <f>IF(ABS(K34-K$35) &lt;= 3*K$36,K34,"")</f>
        <v>11.47</v>
      </c>
      <c r="L44" s="12">
        <f t="shared" si="2"/>
        <v>0.88360000000000005</v>
      </c>
      <c r="M44" s="12">
        <f t="shared" si="2"/>
        <v>1.1900000000000001E-2</v>
      </c>
      <c r="N44" s="12">
        <f t="shared" si="2"/>
        <v>0.1045</v>
      </c>
      <c r="O44" s="11">
        <f t="shared" si="2"/>
        <v>7250915.6969999997</v>
      </c>
      <c r="P44" s="13">
        <f t="shared" si="2"/>
        <v>41</v>
      </c>
      <c r="Q44" s="11"/>
      <c r="R44" s="11">
        <f t="shared" si="2"/>
        <v>2048</v>
      </c>
      <c r="S44" s="11">
        <f t="shared" si="2"/>
        <v>11.78</v>
      </c>
      <c r="T44" s="12">
        <f t="shared" si="2"/>
        <v>0.8831</v>
      </c>
      <c r="U44" s="12">
        <f t="shared" si="2"/>
        <v>1.03E-2</v>
      </c>
      <c r="V44" s="12">
        <f t="shared" si="2"/>
        <v>0.1065</v>
      </c>
      <c r="W44" s="11">
        <f t="shared" si="2"/>
        <v>7076744.0619999999</v>
      </c>
      <c r="X44" s="13">
        <f t="shared" si="2"/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FEA3-4711-4D4A-AB5B-9333FF0E38D5}">
  <dimension ref="A1:AO56"/>
  <sheetViews>
    <sheetView tabSelected="1" topLeftCell="A19" workbookViewId="0">
      <selection activeCell="E46" sqref="E46"/>
    </sheetView>
  </sheetViews>
  <sheetFormatPr baseColWidth="10" defaultRowHeight="16" x14ac:dyDescent="0.2"/>
  <cols>
    <col min="4" max="6" width="10.83203125" style="2"/>
    <col min="8" max="8" width="13.6640625" customWidth="1"/>
    <col min="12" max="14" width="10.83203125" style="2"/>
    <col min="16" max="16" width="14" customWidth="1"/>
    <col min="20" max="22" width="10.83203125" style="2"/>
    <col min="24" max="24" width="13.5" customWidth="1"/>
    <col min="28" max="30" width="10.83203125" style="2"/>
    <col min="32" max="32" width="13.6640625" customWidth="1"/>
    <col min="36" max="38" width="10.83203125" style="2"/>
    <col min="40" max="40" width="15.33203125" customWidth="1"/>
  </cols>
  <sheetData>
    <row r="1" spans="1:41" ht="17" thickBot="1" x14ac:dyDescent="0.25">
      <c r="A1" s="3" t="s">
        <v>55</v>
      </c>
      <c r="B1" s="4" t="s">
        <v>6</v>
      </c>
      <c r="C1" s="4" t="s">
        <v>5</v>
      </c>
      <c r="D1" s="19" t="s">
        <v>4</v>
      </c>
      <c r="E1" s="19" t="s">
        <v>3</v>
      </c>
      <c r="F1" s="19" t="s">
        <v>2</v>
      </c>
      <c r="G1" s="4" t="s">
        <v>1</v>
      </c>
      <c r="H1" s="6" t="s">
        <v>42</v>
      </c>
      <c r="I1" s="3" t="s">
        <v>55</v>
      </c>
      <c r="J1" s="4" t="s">
        <v>6</v>
      </c>
      <c r="K1" s="4" t="s">
        <v>5</v>
      </c>
      <c r="L1" s="19" t="s">
        <v>4</v>
      </c>
      <c r="M1" s="19" t="s">
        <v>3</v>
      </c>
      <c r="N1" s="19" t="s">
        <v>2</v>
      </c>
      <c r="O1" s="4" t="s">
        <v>1</v>
      </c>
      <c r="P1" s="6" t="s">
        <v>42</v>
      </c>
      <c r="Q1" s="3" t="s">
        <v>55</v>
      </c>
      <c r="R1" s="4" t="s">
        <v>6</v>
      </c>
      <c r="S1" s="4" t="s">
        <v>5</v>
      </c>
      <c r="T1" s="19" t="s">
        <v>4</v>
      </c>
      <c r="U1" s="19" t="s">
        <v>3</v>
      </c>
      <c r="V1" s="19" t="s">
        <v>2</v>
      </c>
      <c r="W1" s="4" t="s">
        <v>1</v>
      </c>
      <c r="X1" s="6" t="s">
        <v>42</v>
      </c>
      <c r="Y1" s="3" t="s">
        <v>55</v>
      </c>
      <c r="Z1" s="4" t="s">
        <v>6</v>
      </c>
      <c r="AA1" s="4" t="s">
        <v>5</v>
      </c>
      <c r="AB1" s="19" t="s">
        <v>4</v>
      </c>
      <c r="AC1" s="19" t="s">
        <v>3</v>
      </c>
      <c r="AD1" s="19" t="s">
        <v>2</v>
      </c>
      <c r="AE1" s="4" t="s">
        <v>1</v>
      </c>
      <c r="AF1" s="6" t="s">
        <v>42</v>
      </c>
      <c r="AG1" s="3" t="s">
        <v>55</v>
      </c>
      <c r="AH1" s="4" t="s">
        <v>6</v>
      </c>
      <c r="AI1" s="4" t="s">
        <v>5</v>
      </c>
      <c r="AJ1" s="19" t="s">
        <v>4</v>
      </c>
      <c r="AK1" s="19" t="s">
        <v>3</v>
      </c>
      <c r="AL1" s="19" t="s">
        <v>2</v>
      </c>
      <c r="AM1" s="4" t="s">
        <v>1</v>
      </c>
      <c r="AN1" s="6" t="s">
        <v>42</v>
      </c>
      <c r="AO1" t="s">
        <v>45</v>
      </c>
    </row>
    <row r="2" spans="1:41" x14ac:dyDescent="0.2">
      <c r="A2" s="7" t="s">
        <v>56</v>
      </c>
      <c r="B2">
        <v>128</v>
      </c>
      <c r="C2">
        <v>0.57999999999999996</v>
      </c>
      <c r="D2" s="2">
        <v>0.88300000000000001</v>
      </c>
      <c r="E2" s="2">
        <v>1.12E-2</v>
      </c>
      <c r="F2" s="2">
        <v>0.1057</v>
      </c>
      <c r="G2">
        <v>8960337.6140000001</v>
      </c>
      <c r="H2" s="8"/>
      <c r="I2" s="9" t="s">
        <v>57</v>
      </c>
      <c r="J2">
        <v>128</v>
      </c>
      <c r="K2">
        <v>0.56999999999999995</v>
      </c>
      <c r="L2" s="2">
        <v>0.88229999999999997</v>
      </c>
      <c r="M2" s="2">
        <v>1.06E-2</v>
      </c>
      <c r="N2" s="2">
        <v>0.1071</v>
      </c>
      <c r="O2">
        <v>9150892.7569999993</v>
      </c>
      <c r="P2" s="8"/>
      <c r="Q2" s="9" t="s">
        <v>58</v>
      </c>
      <c r="R2">
        <v>128</v>
      </c>
      <c r="S2">
        <v>0.6</v>
      </c>
      <c r="T2" s="2">
        <v>0.88619999999999999</v>
      </c>
      <c r="U2" s="2">
        <v>1.0999999999999999E-2</v>
      </c>
      <c r="V2" s="2">
        <v>0.1028</v>
      </c>
      <c r="W2">
        <v>8606410.5010000002</v>
      </c>
      <c r="X2" s="8"/>
      <c r="Y2" s="9" t="s">
        <v>59</v>
      </c>
      <c r="Z2">
        <v>128</v>
      </c>
      <c r="AA2">
        <v>0.56999999999999995</v>
      </c>
      <c r="AB2" s="2">
        <v>0.87970000000000004</v>
      </c>
      <c r="AC2" s="2">
        <v>1.24E-2</v>
      </c>
      <c r="AD2" s="2">
        <v>0.10780000000000001</v>
      </c>
      <c r="AE2">
        <v>9076031.4199999999</v>
      </c>
      <c r="AF2" s="8"/>
      <c r="AG2" s="9" t="s">
        <v>60</v>
      </c>
      <c r="AH2" t="s">
        <v>61</v>
      </c>
      <c r="AI2" t="s">
        <v>61</v>
      </c>
      <c r="AJ2" s="2" t="s">
        <v>61</v>
      </c>
      <c r="AK2" s="2" t="s">
        <v>61</v>
      </c>
      <c r="AL2" s="2" t="s">
        <v>61</v>
      </c>
      <c r="AM2" t="s">
        <v>61</v>
      </c>
      <c r="AN2" s="8" t="s">
        <v>35</v>
      </c>
    </row>
    <row r="3" spans="1:41" x14ac:dyDescent="0.2">
      <c r="A3" s="7"/>
      <c r="B3">
        <v>256</v>
      </c>
      <c r="C3">
        <v>1.2</v>
      </c>
      <c r="D3" s="2">
        <v>0.88060000000000005</v>
      </c>
      <c r="E3" s="2">
        <v>1.41E-2</v>
      </c>
      <c r="F3" s="2">
        <v>0.10539999999999999</v>
      </c>
      <c r="G3">
        <v>8665040.6809999999</v>
      </c>
      <c r="H3" s="8"/>
      <c r="I3" s="9"/>
      <c r="J3">
        <v>256</v>
      </c>
      <c r="K3">
        <v>1.1499999999999999</v>
      </c>
      <c r="L3" s="2">
        <v>0.88339999999999996</v>
      </c>
      <c r="M3" s="2">
        <v>1.03E-2</v>
      </c>
      <c r="N3" s="2">
        <v>0.10630000000000001</v>
      </c>
      <c r="O3">
        <v>9035487.0710000005</v>
      </c>
      <c r="P3" s="8"/>
      <c r="Q3" s="9"/>
      <c r="R3">
        <v>256</v>
      </c>
      <c r="S3">
        <v>1.21</v>
      </c>
      <c r="T3" s="2">
        <v>0.88290000000000002</v>
      </c>
      <c r="U3" s="2">
        <v>1.2699999999999999E-2</v>
      </c>
      <c r="V3" s="2">
        <v>0.10440000000000001</v>
      </c>
      <c r="W3">
        <v>8593237.0500000007</v>
      </c>
      <c r="X3" s="8"/>
      <c r="Y3" s="9"/>
      <c r="Z3">
        <v>256</v>
      </c>
      <c r="AA3">
        <v>1.18</v>
      </c>
      <c r="AB3" s="2">
        <v>0.88009999999999999</v>
      </c>
      <c r="AC3" s="2">
        <v>1.43E-2</v>
      </c>
      <c r="AD3" s="2">
        <v>0.1056</v>
      </c>
      <c r="AE3">
        <v>8833819.2420000006</v>
      </c>
      <c r="AF3" s="8"/>
      <c r="AG3" s="9"/>
      <c r="AH3" t="s">
        <v>61</v>
      </c>
      <c r="AI3" t="s">
        <v>61</v>
      </c>
      <c r="AJ3" s="2" t="s">
        <v>61</v>
      </c>
      <c r="AK3" s="2" t="s">
        <v>61</v>
      </c>
      <c r="AL3" s="2" t="s">
        <v>61</v>
      </c>
      <c r="AM3" t="s">
        <v>61</v>
      </c>
      <c r="AN3" s="8" t="s">
        <v>35</v>
      </c>
    </row>
    <row r="4" spans="1:41" x14ac:dyDescent="0.2">
      <c r="A4" s="9"/>
      <c r="B4">
        <v>512</v>
      </c>
      <c r="C4">
        <v>2.37</v>
      </c>
      <c r="D4" s="2">
        <v>0.88400000000000001</v>
      </c>
      <c r="E4" s="2">
        <v>1.15E-2</v>
      </c>
      <c r="F4" s="2">
        <v>0.1045</v>
      </c>
      <c r="G4">
        <v>8786799.6370000001</v>
      </c>
      <c r="H4" s="8"/>
      <c r="I4" s="9"/>
      <c r="J4">
        <v>512</v>
      </c>
      <c r="K4">
        <v>2.3199999999999998</v>
      </c>
      <c r="L4" s="2">
        <v>0.88390000000000002</v>
      </c>
      <c r="M4" s="2">
        <v>1.03E-2</v>
      </c>
      <c r="N4" s="2">
        <v>0.10580000000000001</v>
      </c>
      <c r="O4">
        <v>8990885.1490000002</v>
      </c>
      <c r="P4" s="8"/>
      <c r="Q4" s="9"/>
      <c r="R4">
        <v>512</v>
      </c>
      <c r="S4">
        <v>2.36</v>
      </c>
      <c r="T4" s="2">
        <v>0.88280000000000003</v>
      </c>
      <c r="U4" s="2">
        <v>1.1599999999999999E-2</v>
      </c>
      <c r="V4" s="2">
        <v>0.1056</v>
      </c>
      <c r="W4">
        <v>8816319.5720000006</v>
      </c>
      <c r="X4" s="8"/>
      <c r="Y4" s="9"/>
      <c r="Z4">
        <v>512</v>
      </c>
      <c r="AA4">
        <v>2.4500000000000002</v>
      </c>
      <c r="AB4" s="2">
        <v>0.87849999999999995</v>
      </c>
      <c r="AC4" s="2">
        <v>1.6E-2</v>
      </c>
      <c r="AD4" s="2">
        <v>0.1055</v>
      </c>
      <c r="AE4">
        <v>8496901.3499999996</v>
      </c>
      <c r="AF4" s="8"/>
      <c r="AG4" s="9"/>
      <c r="AH4" t="s">
        <v>61</v>
      </c>
      <c r="AI4" t="s">
        <v>61</v>
      </c>
      <c r="AJ4" s="2" t="s">
        <v>61</v>
      </c>
      <c r="AK4" s="2" t="s">
        <v>61</v>
      </c>
      <c r="AL4" s="2" t="s">
        <v>61</v>
      </c>
      <c r="AM4" t="s">
        <v>61</v>
      </c>
      <c r="AN4" s="8" t="s">
        <v>35</v>
      </c>
    </row>
    <row r="5" spans="1:41" x14ac:dyDescent="0.2">
      <c r="A5" s="9"/>
      <c r="B5">
        <v>1024</v>
      </c>
      <c r="C5">
        <v>4.74</v>
      </c>
      <c r="D5" s="2">
        <v>0.88380000000000003</v>
      </c>
      <c r="E5" s="2">
        <v>1.12E-2</v>
      </c>
      <c r="F5" s="2">
        <v>0.105</v>
      </c>
      <c r="G5">
        <v>8783120.4309999999</v>
      </c>
      <c r="H5" s="8"/>
      <c r="I5" s="9"/>
      <c r="J5">
        <v>1024</v>
      </c>
      <c r="K5">
        <v>4.74</v>
      </c>
      <c r="L5" s="2">
        <v>0.88270000000000004</v>
      </c>
      <c r="M5" s="2">
        <v>1.0500000000000001E-2</v>
      </c>
      <c r="N5" s="2">
        <v>0.10680000000000001</v>
      </c>
      <c r="O5">
        <v>8802161.1640000008</v>
      </c>
      <c r="P5" s="8"/>
      <c r="Q5" s="9"/>
      <c r="R5">
        <v>1024</v>
      </c>
      <c r="S5">
        <v>4.9800000000000004</v>
      </c>
      <c r="T5" s="2">
        <v>0.88380000000000003</v>
      </c>
      <c r="U5" s="2">
        <v>1.18E-2</v>
      </c>
      <c r="V5" s="2">
        <v>0.10440000000000001</v>
      </c>
      <c r="W5">
        <v>8356352.6330000004</v>
      </c>
      <c r="X5" s="8"/>
      <c r="Y5" s="9"/>
      <c r="Z5">
        <v>1024</v>
      </c>
      <c r="AA5">
        <v>5.08</v>
      </c>
      <c r="AB5" s="2">
        <v>0.87939999999999996</v>
      </c>
      <c r="AC5" s="2">
        <v>1.54E-2</v>
      </c>
      <c r="AD5" s="2">
        <v>0.1052</v>
      </c>
      <c r="AE5">
        <v>8191762.0870000003</v>
      </c>
      <c r="AF5" s="8"/>
      <c r="AG5" s="9"/>
      <c r="AH5" t="s">
        <v>61</v>
      </c>
      <c r="AI5" t="s">
        <v>61</v>
      </c>
      <c r="AJ5" s="2" t="s">
        <v>61</v>
      </c>
      <c r="AK5" s="2" t="s">
        <v>61</v>
      </c>
      <c r="AL5" s="2" t="s">
        <v>61</v>
      </c>
      <c r="AM5" t="s">
        <v>61</v>
      </c>
      <c r="AN5" s="8" t="s">
        <v>35</v>
      </c>
    </row>
    <row r="6" spans="1:41" x14ac:dyDescent="0.2">
      <c r="A6" s="7"/>
      <c r="B6">
        <v>2048</v>
      </c>
      <c r="C6">
        <v>9.9499999999999993</v>
      </c>
      <c r="D6" s="2">
        <v>0.88180000000000003</v>
      </c>
      <c r="E6" s="2">
        <v>1.34E-2</v>
      </c>
      <c r="F6" s="2">
        <v>0.1048</v>
      </c>
      <c r="G6">
        <v>8355752.5269999998</v>
      </c>
      <c r="H6" s="8"/>
      <c r="I6" s="9"/>
      <c r="J6">
        <v>2048</v>
      </c>
      <c r="K6">
        <v>9.94</v>
      </c>
      <c r="L6" s="2">
        <v>0.88280000000000003</v>
      </c>
      <c r="M6" s="2">
        <v>1.0699999999999999E-2</v>
      </c>
      <c r="N6" s="2">
        <v>0.1065</v>
      </c>
      <c r="O6">
        <v>8386973.6090000002</v>
      </c>
      <c r="P6" s="8"/>
      <c r="Q6" s="9"/>
      <c r="R6">
        <v>2048</v>
      </c>
      <c r="S6">
        <v>10.77</v>
      </c>
      <c r="T6" s="2">
        <v>0.88480000000000003</v>
      </c>
      <c r="U6" s="2">
        <v>1.23E-2</v>
      </c>
      <c r="V6" s="2">
        <v>0.1028</v>
      </c>
      <c r="W6">
        <v>7704197.1859999998</v>
      </c>
      <c r="X6" s="8" t="s">
        <v>25</v>
      </c>
      <c r="Y6" s="9"/>
      <c r="Z6">
        <v>2048</v>
      </c>
      <c r="AA6">
        <v>10.64</v>
      </c>
      <c r="AB6" s="2">
        <v>0.87970000000000004</v>
      </c>
      <c r="AC6" s="2">
        <v>1.5299999999999999E-2</v>
      </c>
      <c r="AD6" s="2">
        <v>0.10489999999999999</v>
      </c>
      <c r="AE6">
        <v>7818068.4100000001</v>
      </c>
      <c r="AF6" s="8" t="s">
        <v>19</v>
      </c>
      <c r="AG6" s="9"/>
      <c r="AH6" t="s">
        <v>61</v>
      </c>
      <c r="AI6" t="s">
        <v>61</v>
      </c>
      <c r="AJ6" s="2" t="s">
        <v>61</v>
      </c>
      <c r="AK6" s="2" t="s">
        <v>61</v>
      </c>
      <c r="AL6" s="2" t="s">
        <v>61</v>
      </c>
      <c r="AM6" t="s">
        <v>61</v>
      </c>
      <c r="AN6" s="8" t="s">
        <v>27</v>
      </c>
    </row>
    <row r="7" spans="1:41" x14ac:dyDescent="0.2">
      <c r="A7" s="7"/>
      <c r="B7">
        <v>4096</v>
      </c>
      <c r="C7">
        <v>21.59</v>
      </c>
      <c r="D7" s="2">
        <v>0.8831</v>
      </c>
      <c r="E7" s="2">
        <v>1.3599999999999999E-2</v>
      </c>
      <c r="F7" s="2">
        <v>0.1033</v>
      </c>
      <c r="G7">
        <v>7694345.5580000002</v>
      </c>
      <c r="H7" s="8" t="s">
        <v>37</v>
      </c>
      <c r="I7" s="9"/>
      <c r="J7">
        <v>4096</v>
      </c>
      <c r="K7">
        <v>20.76</v>
      </c>
      <c r="L7" s="2">
        <v>0.88300000000000001</v>
      </c>
      <c r="M7" s="2">
        <v>1.0699999999999999E-2</v>
      </c>
      <c r="N7" s="2">
        <v>0.10630000000000001</v>
      </c>
      <c r="O7">
        <v>8027219.0319999997</v>
      </c>
      <c r="P7" s="8" t="s">
        <v>21</v>
      </c>
      <c r="Q7" s="9"/>
      <c r="R7">
        <v>128</v>
      </c>
      <c r="S7">
        <v>0.57999999999999996</v>
      </c>
      <c r="T7" s="2">
        <v>0.88049999999999995</v>
      </c>
      <c r="U7" s="2">
        <v>1.23E-2</v>
      </c>
      <c r="V7" s="2">
        <v>0.1072</v>
      </c>
      <c r="W7">
        <v>9028020.523</v>
      </c>
      <c r="X7" s="8"/>
      <c r="Y7" s="9"/>
      <c r="Z7">
        <v>128</v>
      </c>
      <c r="AA7">
        <v>0.57999999999999996</v>
      </c>
      <c r="AB7" s="2">
        <v>0.87949999999999995</v>
      </c>
      <c r="AC7" s="2">
        <v>1.35E-2</v>
      </c>
      <c r="AD7" s="2">
        <v>0.107</v>
      </c>
      <c r="AE7">
        <v>8931277.9340000004</v>
      </c>
      <c r="AF7" s="8"/>
      <c r="AG7" s="9"/>
      <c r="AN7" s="8"/>
    </row>
    <row r="8" spans="1:41" x14ac:dyDescent="0.2">
      <c r="A8" s="7"/>
      <c r="B8">
        <v>128</v>
      </c>
      <c r="C8">
        <v>0.63</v>
      </c>
      <c r="D8" s="2">
        <v>0.87929999999999997</v>
      </c>
      <c r="E8" s="2">
        <v>1.61E-2</v>
      </c>
      <c r="F8" s="2">
        <v>0.1046</v>
      </c>
      <c r="G8">
        <v>8227175.0199999996</v>
      </c>
      <c r="H8" s="8"/>
      <c r="I8" s="9"/>
      <c r="J8">
        <v>128</v>
      </c>
      <c r="K8">
        <v>0.67</v>
      </c>
      <c r="L8" s="2">
        <v>0.88660000000000005</v>
      </c>
      <c r="M8" s="2">
        <v>1.41E-2</v>
      </c>
      <c r="N8" s="2">
        <v>9.9299999999999999E-2</v>
      </c>
      <c r="O8">
        <v>7754757.9139999999</v>
      </c>
      <c r="P8" s="8"/>
      <c r="Q8" s="9"/>
      <c r="R8">
        <v>256</v>
      </c>
      <c r="S8">
        <v>1.19</v>
      </c>
      <c r="T8" s="2">
        <v>0.88349999999999995</v>
      </c>
      <c r="U8" s="2">
        <v>1.18E-2</v>
      </c>
      <c r="V8" s="2">
        <v>0.1048</v>
      </c>
      <c r="W8">
        <v>8729507.159</v>
      </c>
      <c r="X8" s="8"/>
      <c r="Y8" s="9"/>
      <c r="Z8">
        <v>256</v>
      </c>
      <c r="AA8">
        <v>1.17</v>
      </c>
      <c r="AB8" s="2">
        <v>0.88249999999999995</v>
      </c>
      <c r="AC8" s="2">
        <v>1.21E-2</v>
      </c>
      <c r="AD8" s="2">
        <v>0.10539999999999999</v>
      </c>
      <c r="AE8">
        <v>8855611.6760000009</v>
      </c>
      <c r="AF8" s="8"/>
      <c r="AG8" s="9"/>
      <c r="AN8" s="8"/>
    </row>
    <row r="9" spans="1:41" x14ac:dyDescent="0.2">
      <c r="A9" s="9"/>
      <c r="B9">
        <v>256</v>
      </c>
      <c r="C9">
        <v>1.23</v>
      </c>
      <c r="D9" s="2">
        <v>0.88229999999999997</v>
      </c>
      <c r="E9" s="2">
        <v>1.2200000000000001E-2</v>
      </c>
      <c r="F9" s="2">
        <v>0.1055</v>
      </c>
      <c r="G9">
        <v>8459556.5079999994</v>
      </c>
      <c r="H9" s="8"/>
      <c r="I9" s="9"/>
      <c r="J9">
        <v>256</v>
      </c>
      <c r="K9">
        <v>1.2</v>
      </c>
      <c r="L9" s="2">
        <v>0.88149999999999995</v>
      </c>
      <c r="M9" s="2">
        <v>1.24E-2</v>
      </c>
      <c r="N9" s="2">
        <v>0.106</v>
      </c>
      <c r="O9">
        <v>8683390.0830000006</v>
      </c>
      <c r="P9" s="8"/>
      <c r="Q9" s="9"/>
      <c r="R9">
        <v>512</v>
      </c>
      <c r="S9">
        <v>2.48</v>
      </c>
      <c r="T9" s="2">
        <v>0.88329999999999997</v>
      </c>
      <c r="U9" s="2">
        <v>1.18E-2</v>
      </c>
      <c r="V9" s="2">
        <v>0.10489999999999999</v>
      </c>
      <c r="W9">
        <v>8373821.5520000001</v>
      </c>
      <c r="X9" s="8"/>
      <c r="Y9" s="9"/>
      <c r="Z9">
        <v>512</v>
      </c>
      <c r="AA9">
        <v>2.5499999999999998</v>
      </c>
      <c r="AB9" s="2">
        <v>0.87990000000000002</v>
      </c>
      <c r="AC9" s="2">
        <v>1.3599999999999999E-2</v>
      </c>
      <c r="AD9" s="2">
        <v>0.1065</v>
      </c>
      <c r="AE9">
        <v>8160800.4249999998</v>
      </c>
      <c r="AF9" s="8"/>
      <c r="AG9" s="9"/>
      <c r="AN9" s="8"/>
    </row>
    <row r="10" spans="1:41" x14ac:dyDescent="0.2">
      <c r="A10" s="9"/>
      <c r="B10">
        <v>512</v>
      </c>
      <c r="C10">
        <v>2.5499999999999998</v>
      </c>
      <c r="D10" s="2">
        <v>0.88260000000000005</v>
      </c>
      <c r="E10" s="2">
        <v>1.24E-2</v>
      </c>
      <c r="F10" s="2">
        <v>0.105</v>
      </c>
      <c r="G10">
        <v>8146904.3300000001</v>
      </c>
      <c r="H10" s="8"/>
      <c r="I10" s="9"/>
      <c r="J10">
        <v>512</v>
      </c>
      <c r="K10">
        <v>2.67</v>
      </c>
      <c r="L10" s="2">
        <v>0.88190000000000002</v>
      </c>
      <c r="M10" s="2">
        <v>1.55E-2</v>
      </c>
      <c r="N10" s="2">
        <v>0.1026</v>
      </c>
      <c r="O10">
        <v>7777878.0499999998</v>
      </c>
      <c r="P10" s="8"/>
      <c r="Q10" s="9"/>
      <c r="R10">
        <v>1024</v>
      </c>
      <c r="S10">
        <v>5.12</v>
      </c>
      <c r="T10" s="2">
        <v>0.88300000000000001</v>
      </c>
      <c r="U10" s="2">
        <v>1.18E-2</v>
      </c>
      <c r="V10" s="2">
        <v>0.1052</v>
      </c>
      <c r="W10">
        <v>8130860.2249999996</v>
      </c>
      <c r="X10" s="8"/>
      <c r="Y10" s="9"/>
      <c r="Z10">
        <v>1024</v>
      </c>
      <c r="AA10">
        <v>5.21</v>
      </c>
      <c r="AB10" s="2">
        <v>0.88129999999999997</v>
      </c>
      <c r="AC10" s="2">
        <v>1.3100000000000001E-2</v>
      </c>
      <c r="AD10" s="2">
        <v>0.1056</v>
      </c>
      <c r="AE10">
        <v>7989701.4620000003</v>
      </c>
      <c r="AF10" s="8"/>
      <c r="AG10" s="9"/>
      <c r="AN10" s="8"/>
    </row>
    <row r="11" spans="1:41" x14ac:dyDescent="0.2">
      <c r="A11" s="9"/>
      <c r="B11">
        <v>1024</v>
      </c>
      <c r="C11">
        <v>5.25</v>
      </c>
      <c r="D11" s="2">
        <v>0.88239999999999996</v>
      </c>
      <c r="E11" s="2">
        <v>1.2E-2</v>
      </c>
      <c r="F11" s="2">
        <v>0.1056</v>
      </c>
      <c r="G11">
        <v>7934142.9720000001</v>
      </c>
      <c r="H11" s="8"/>
      <c r="I11" s="9"/>
      <c r="J11">
        <v>1024</v>
      </c>
      <c r="K11">
        <v>5.12</v>
      </c>
      <c r="L11" s="2">
        <v>0.88180000000000003</v>
      </c>
      <c r="M11" s="2">
        <v>1.18E-2</v>
      </c>
      <c r="N11" s="2">
        <v>0.1065</v>
      </c>
      <c r="O11">
        <v>8139450.8459999999</v>
      </c>
      <c r="P11" s="8"/>
      <c r="Q11" s="9"/>
      <c r="R11">
        <v>2048</v>
      </c>
      <c r="S11">
        <v>10.59</v>
      </c>
      <c r="T11" s="2">
        <v>0.8831</v>
      </c>
      <c r="U11" s="2">
        <v>1.14E-2</v>
      </c>
      <c r="V11" s="2">
        <v>0.1055</v>
      </c>
      <c r="W11">
        <v>7862200.9939999999</v>
      </c>
      <c r="X11" s="8" t="s">
        <v>25</v>
      </c>
      <c r="Y11" s="9"/>
      <c r="Z11">
        <v>2048</v>
      </c>
      <c r="AA11">
        <v>10.68</v>
      </c>
      <c r="AB11" s="2">
        <v>0.87829999999999997</v>
      </c>
      <c r="AC11" s="2">
        <v>1.5599999999999999E-2</v>
      </c>
      <c r="AD11" s="2">
        <v>0.1061</v>
      </c>
      <c r="AE11">
        <v>7799282.5290000001</v>
      </c>
      <c r="AF11" s="8" t="s">
        <v>36</v>
      </c>
      <c r="AG11" s="9"/>
      <c r="AN11" s="8"/>
    </row>
    <row r="12" spans="1:41" x14ac:dyDescent="0.2">
      <c r="A12" s="9"/>
      <c r="B12">
        <v>2048</v>
      </c>
      <c r="C12">
        <v>10.96</v>
      </c>
      <c r="D12" s="2">
        <v>0.88280000000000003</v>
      </c>
      <c r="E12" s="2">
        <v>1.23E-2</v>
      </c>
      <c r="F12" s="2">
        <v>0.1048</v>
      </c>
      <c r="G12">
        <v>7590663.3099999996</v>
      </c>
      <c r="H12" s="8" t="s">
        <v>9</v>
      </c>
      <c r="I12" s="9"/>
      <c r="J12">
        <v>2048</v>
      </c>
      <c r="K12">
        <v>10.76</v>
      </c>
      <c r="L12" s="2">
        <v>0.88219999999999998</v>
      </c>
      <c r="M12" s="2">
        <v>1.21E-2</v>
      </c>
      <c r="N12" s="2">
        <v>0.10580000000000001</v>
      </c>
      <c r="O12">
        <v>7735744.2709999997</v>
      </c>
      <c r="P12" s="8" t="s">
        <v>25</v>
      </c>
      <c r="Q12" s="9"/>
      <c r="R12">
        <v>128</v>
      </c>
      <c r="S12">
        <v>0.56999999999999995</v>
      </c>
      <c r="T12" s="2">
        <v>0.88109999999999999</v>
      </c>
      <c r="U12" s="2">
        <v>1.12E-2</v>
      </c>
      <c r="V12" s="2">
        <v>0.1076</v>
      </c>
      <c r="W12">
        <v>9098494.2970000003</v>
      </c>
      <c r="X12" s="8"/>
      <c r="Y12" s="9"/>
      <c r="Z12">
        <v>128</v>
      </c>
      <c r="AA12">
        <v>0.59</v>
      </c>
      <c r="AB12" s="2">
        <v>0.87680000000000002</v>
      </c>
      <c r="AC12" s="2">
        <v>1.4800000000000001E-2</v>
      </c>
      <c r="AD12" s="2">
        <v>0.1084</v>
      </c>
      <c r="AE12">
        <v>8861150.4069999997</v>
      </c>
      <c r="AF12" s="8"/>
      <c r="AG12" s="9"/>
      <c r="AN12" s="8"/>
    </row>
    <row r="13" spans="1:41" x14ac:dyDescent="0.2">
      <c r="A13" s="9"/>
      <c r="B13">
        <v>128</v>
      </c>
      <c r="C13">
        <v>0.61</v>
      </c>
      <c r="D13" s="2">
        <v>0.88239999999999996</v>
      </c>
      <c r="E13" s="2">
        <v>1.41E-2</v>
      </c>
      <c r="F13" s="2">
        <v>0.10349999999999999</v>
      </c>
      <c r="G13">
        <v>8508668.4910000004</v>
      </c>
      <c r="H13" s="8"/>
      <c r="I13" s="9"/>
      <c r="J13">
        <v>128</v>
      </c>
      <c r="K13">
        <v>0.59</v>
      </c>
      <c r="L13" s="2">
        <v>0.88119999999999998</v>
      </c>
      <c r="M13" s="2">
        <v>1.2E-2</v>
      </c>
      <c r="N13" s="2">
        <v>0.10680000000000001</v>
      </c>
      <c r="O13">
        <v>8867397.1569999997</v>
      </c>
      <c r="P13" s="8"/>
      <c r="Q13" s="9"/>
      <c r="R13">
        <v>256</v>
      </c>
      <c r="S13">
        <v>1.17</v>
      </c>
      <c r="T13" s="2">
        <v>0.88180000000000003</v>
      </c>
      <c r="U13" s="2">
        <v>1.1599999999999999E-2</v>
      </c>
      <c r="V13" s="2">
        <v>0.1066</v>
      </c>
      <c r="W13">
        <v>8893738.4690000005</v>
      </c>
      <c r="X13" s="8"/>
      <c r="Y13" s="9"/>
      <c r="Z13">
        <v>256</v>
      </c>
      <c r="AA13">
        <v>1.25</v>
      </c>
      <c r="AB13" s="2">
        <v>0.87929999999999997</v>
      </c>
      <c r="AC13" s="2">
        <v>1.43E-2</v>
      </c>
      <c r="AD13" s="2">
        <v>0.10639999999999999</v>
      </c>
      <c r="AE13">
        <v>8325910.6869999999</v>
      </c>
      <c r="AF13" s="8"/>
      <c r="AG13" s="9"/>
      <c r="AN13" s="8"/>
    </row>
    <row r="14" spans="1:41" x14ac:dyDescent="0.2">
      <c r="A14" s="9"/>
      <c r="B14">
        <v>256</v>
      </c>
      <c r="C14">
        <v>1.22</v>
      </c>
      <c r="D14" s="2">
        <v>0.87880000000000003</v>
      </c>
      <c r="E14" s="2">
        <v>1.4200000000000001E-2</v>
      </c>
      <c r="F14" s="2">
        <v>0.1071</v>
      </c>
      <c r="G14">
        <v>8553894.6750000007</v>
      </c>
      <c r="H14" s="8"/>
      <c r="I14" s="9"/>
      <c r="J14">
        <v>256</v>
      </c>
      <c r="K14">
        <v>1.19</v>
      </c>
      <c r="L14" s="2">
        <v>0.88270000000000004</v>
      </c>
      <c r="M14" s="2">
        <v>1.15E-2</v>
      </c>
      <c r="N14" s="2">
        <v>0.10580000000000001</v>
      </c>
      <c r="O14">
        <v>8783561.773</v>
      </c>
      <c r="P14" s="8"/>
      <c r="Q14" s="9"/>
      <c r="R14">
        <v>512</v>
      </c>
      <c r="S14">
        <v>2.4300000000000002</v>
      </c>
      <c r="T14" s="2">
        <v>0.88119999999999998</v>
      </c>
      <c r="U14" s="2">
        <v>1.18E-2</v>
      </c>
      <c r="V14" s="2">
        <v>0.1071</v>
      </c>
      <c r="W14">
        <v>8572383.7320000008</v>
      </c>
      <c r="X14" s="8"/>
      <c r="Y14" s="9"/>
      <c r="Z14">
        <v>512</v>
      </c>
      <c r="AA14">
        <v>2.6</v>
      </c>
      <c r="AB14" s="2">
        <v>0.87980000000000003</v>
      </c>
      <c r="AC14" s="2">
        <v>1.5299999999999999E-2</v>
      </c>
      <c r="AD14" s="2">
        <v>0.10489999999999999</v>
      </c>
      <c r="AE14">
        <v>7985299.341</v>
      </c>
      <c r="AF14" s="8"/>
      <c r="AG14" s="9"/>
      <c r="AN14" s="8"/>
    </row>
    <row r="15" spans="1:41" x14ac:dyDescent="0.2">
      <c r="A15" s="9"/>
      <c r="B15">
        <v>512</v>
      </c>
      <c r="C15">
        <v>2.56</v>
      </c>
      <c r="D15" s="2">
        <v>0.88060000000000005</v>
      </c>
      <c r="E15" s="2">
        <v>1.29E-2</v>
      </c>
      <c r="F15" s="2">
        <v>0.1066</v>
      </c>
      <c r="G15">
        <v>8140883.4910000004</v>
      </c>
      <c r="H15" s="8"/>
      <c r="I15" s="9"/>
      <c r="J15">
        <v>512</v>
      </c>
      <c r="K15">
        <v>2.4700000000000002</v>
      </c>
      <c r="L15" s="2">
        <v>0.88249999999999995</v>
      </c>
      <c r="M15" s="2">
        <v>1.14E-2</v>
      </c>
      <c r="N15" s="2">
        <v>0.106</v>
      </c>
      <c r="O15">
        <v>8444295.8660000004</v>
      </c>
      <c r="P15" s="8"/>
      <c r="Q15" s="9"/>
      <c r="R15">
        <v>1024</v>
      </c>
      <c r="S15">
        <v>5.09</v>
      </c>
      <c r="T15" s="2">
        <v>0.88119999999999998</v>
      </c>
      <c r="U15" s="2">
        <v>1.18E-2</v>
      </c>
      <c r="V15" s="2">
        <v>0.107</v>
      </c>
      <c r="W15">
        <v>8192749.875</v>
      </c>
      <c r="X15" s="8"/>
      <c r="Y15" s="9"/>
      <c r="Z15">
        <v>1024</v>
      </c>
      <c r="AA15">
        <v>5.42</v>
      </c>
      <c r="AB15" s="2">
        <v>0.88039999999999996</v>
      </c>
      <c r="AC15" s="2">
        <v>1.47E-2</v>
      </c>
      <c r="AD15" s="2">
        <v>0.10489999999999999</v>
      </c>
      <c r="AE15">
        <v>7676038.4800000004</v>
      </c>
      <c r="AF15" s="8"/>
      <c r="AG15" s="9"/>
      <c r="AN15" s="8"/>
    </row>
    <row r="16" spans="1:41" x14ac:dyDescent="0.2">
      <c r="A16" s="9"/>
      <c r="B16">
        <v>1024</v>
      </c>
      <c r="C16">
        <v>5.36</v>
      </c>
      <c r="D16" s="2">
        <v>0.88200000000000001</v>
      </c>
      <c r="E16" s="2">
        <v>1.2699999999999999E-2</v>
      </c>
      <c r="F16" s="2">
        <v>0.1053</v>
      </c>
      <c r="G16">
        <v>7762672.1380000003</v>
      </c>
      <c r="H16" s="8"/>
      <c r="I16" s="9"/>
      <c r="J16">
        <v>1024</v>
      </c>
      <c r="K16">
        <v>5.2</v>
      </c>
      <c r="L16" s="2">
        <v>0.88239999999999996</v>
      </c>
      <c r="M16" s="2">
        <v>1.1900000000000001E-2</v>
      </c>
      <c r="N16" s="2">
        <v>0.10580000000000001</v>
      </c>
      <c r="O16">
        <v>8013133.4620000003</v>
      </c>
      <c r="P16" s="8"/>
      <c r="Q16" s="9"/>
      <c r="R16">
        <v>2048</v>
      </c>
      <c r="S16">
        <v>10.61</v>
      </c>
      <c r="T16" s="2">
        <v>0.88129999999999997</v>
      </c>
      <c r="U16" s="2">
        <v>1.1900000000000001E-2</v>
      </c>
      <c r="V16" s="2">
        <v>0.1069</v>
      </c>
      <c r="W16">
        <v>7857549.3339999998</v>
      </c>
      <c r="X16" s="8" t="s">
        <v>25</v>
      </c>
      <c r="Y16" s="9"/>
      <c r="Z16">
        <v>2048</v>
      </c>
      <c r="AA16">
        <v>11.12</v>
      </c>
      <c r="AB16" s="2">
        <v>0.88139999999999996</v>
      </c>
      <c r="AC16" s="2">
        <v>1.3100000000000001E-2</v>
      </c>
      <c r="AD16" s="2">
        <v>0.1055</v>
      </c>
      <c r="AE16">
        <v>7483546.1090000002</v>
      </c>
      <c r="AF16" s="8" t="s">
        <v>34</v>
      </c>
      <c r="AG16" s="9"/>
      <c r="AN16" s="8"/>
    </row>
    <row r="17" spans="1:41" x14ac:dyDescent="0.2">
      <c r="A17" s="9"/>
      <c r="B17">
        <v>2048</v>
      </c>
      <c r="C17">
        <v>11.01</v>
      </c>
      <c r="D17" s="2">
        <v>0.88200000000000001</v>
      </c>
      <c r="E17" s="2">
        <v>1.21E-2</v>
      </c>
      <c r="F17" s="2">
        <v>0.10589999999999999</v>
      </c>
      <c r="G17">
        <v>7564105.2079999996</v>
      </c>
      <c r="H17" s="8" t="s">
        <v>0</v>
      </c>
      <c r="I17" s="9"/>
      <c r="J17">
        <v>2048</v>
      </c>
      <c r="K17">
        <v>10.77</v>
      </c>
      <c r="L17" s="2">
        <v>0.88180000000000003</v>
      </c>
      <c r="M17" s="2">
        <v>1.17E-2</v>
      </c>
      <c r="N17" s="2">
        <v>0.10639999999999999</v>
      </c>
      <c r="O17">
        <v>7734251.4340000004</v>
      </c>
      <c r="P17" s="8" t="s">
        <v>25</v>
      </c>
      <c r="Q17" s="9"/>
      <c r="R17">
        <v>128</v>
      </c>
      <c r="S17">
        <v>0.59</v>
      </c>
      <c r="T17" s="2">
        <v>0.88360000000000005</v>
      </c>
      <c r="U17" s="2">
        <v>1.12E-2</v>
      </c>
      <c r="V17" s="2">
        <v>0.1052</v>
      </c>
      <c r="W17">
        <v>8815797.6989999991</v>
      </c>
      <c r="X17" s="8"/>
      <c r="Y17" s="9"/>
      <c r="Z17">
        <v>128</v>
      </c>
      <c r="AA17">
        <v>0.59</v>
      </c>
      <c r="AB17" s="2">
        <v>0.88280000000000003</v>
      </c>
      <c r="AC17" s="2">
        <v>1.15E-2</v>
      </c>
      <c r="AD17" s="2">
        <v>0.1057</v>
      </c>
      <c r="AE17">
        <v>8860020.1789999995</v>
      </c>
      <c r="AF17" s="8"/>
      <c r="AG17" s="9"/>
      <c r="AN17" s="8"/>
    </row>
    <row r="18" spans="1:41" x14ac:dyDescent="0.2">
      <c r="A18" s="9"/>
      <c r="B18">
        <v>128</v>
      </c>
      <c r="C18">
        <v>0.59</v>
      </c>
      <c r="D18" s="2">
        <v>0.88219999999999998</v>
      </c>
      <c r="E18" s="2">
        <v>1.2999999999999999E-2</v>
      </c>
      <c r="F18" s="2">
        <v>0.1048</v>
      </c>
      <c r="G18">
        <v>8799296.6730000004</v>
      </c>
      <c r="H18" s="8"/>
      <c r="I18" s="9"/>
      <c r="J18">
        <v>128</v>
      </c>
      <c r="K18">
        <v>0.57999999999999996</v>
      </c>
      <c r="L18" s="2">
        <v>0.88349999999999995</v>
      </c>
      <c r="M18" s="2">
        <v>1.11E-2</v>
      </c>
      <c r="N18" s="2">
        <v>0.10539999999999999</v>
      </c>
      <c r="O18">
        <v>8910536.2310000006</v>
      </c>
      <c r="P18" s="8"/>
      <c r="Q18" s="9"/>
      <c r="R18">
        <v>256</v>
      </c>
      <c r="S18">
        <v>1.27</v>
      </c>
      <c r="T18" s="2">
        <v>0.88419999999999999</v>
      </c>
      <c r="U18" s="2">
        <v>1.35E-2</v>
      </c>
      <c r="V18" s="2">
        <v>0.1023</v>
      </c>
      <c r="W18">
        <v>8165905.0369999995</v>
      </c>
      <c r="X18" s="8"/>
      <c r="Y18" s="9"/>
      <c r="Z18">
        <v>256</v>
      </c>
      <c r="AA18">
        <v>1.17</v>
      </c>
      <c r="AB18" s="2">
        <v>0.88239999999999996</v>
      </c>
      <c r="AC18" s="2">
        <v>1.17E-2</v>
      </c>
      <c r="AD18" s="2">
        <v>0.10589999999999999</v>
      </c>
      <c r="AE18">
        <v>8860576.8220000006</v>
      </c>
      <c r="AF18" s="8"/>
      <c r="AG18" s="9"/>
      <c r="AN18" s="8"/>
    </row>
    <row r="19" spans="1:41" x14ac:dyDescent="0.2">
      <c r="A19" s="9"/>
      <c r="B19">
        <v>256</v>
      </c>
      <c r="C19">
        <v>1.28</v>
      </c>
      <c r="D19" s="2">
        <v>0.87960000000000005</v>
      </c>
      <c r="E19" s="2">
        <v>1.55E-2</v>
      </c>
      <c r="F19" s="2">
        <v>0.105</v>
      </c>
      <c r="G19">
        <v>8128914.6150000002</v>
      </c>
      <c r="H19" s="8"/>
      <c r="I19" s="9"/>
      <c r="J19">
        <v>256</v>
      </c>
      <c r="K19">
        <v>1.19</v>
      </c>
      <c r="L19" s="2">
        <v>0.88390000000000002</v>
      </c>
      <c r="M19" s="2">
        <v>1.0999999999999999E-2</v>
      </c>
      <c r="N19" s="2">
        <v>0.1051</v>
      </c>
      <c r="O19">
        <v>8764687.9920000006</v>
      </c>
      <c r="P19" s="8"/>
      <c r="Q19" s="9"/>
      <c r="R19">
        <v>512</v>
      </c>
      <c r="S19">
        <v>2.4900000000000002</v>
      </c>
      <c r="T19" s="2">
        <v>0.88370000000000004</v>
      </c>
      <c r="U19" s="2">
        <v>1.15E-2</v>
      </c>
      <c r="V19" s="2">
        <v>0.1048</v>
      </c>
      <c r="W19">
        <v>8337723.9689999996</v>
      </c>
      <c r="X19" s="8"/>
      <c r="Y19" s="9"/>
      <c r="Z19">
        <v>512</v>
      </c>
      <c r="AA19">
        <v>2.46</v>
      </c>
      <c r="AB19" s="2">
        <v>0.88070000000000004</v>
      </c>
      <c r="AC19" s="2">
        <v>1.35E-2</v>
      </c>
      <c r="AD19" s="2">
        <v>0.10580000000000001</v>
      </c>
      <c r="AE19">
        <v>8452823.0610000007</v>
      </c>
      <c r="AF19" s="8"/>
      <c r="AG19" s="9"/>
      <c r="AN19" s="8"/>
    </row>
    <row r="20" spans="1:41" x14ac:dyDescent="0.2">
      <c r="A20" s="9"/>
      <c r="B20">
        <v>512</v>
      </c>
      <c r="C20">
        <v>2.58</v>
      </c>
      <c r="D20" s="2">
        <v>0.88190000000000002</v>
      </c>
      <c r="E20" s="2">
        <v>1.2500000000000001E-2</v>
      </c>
      <c r="F20" s="2">
        <v>0.1056</v>
      </c>
      <c r="G20">
        <v>8071627.0880000005</v>
      </c>
      <c r="H20" s="8"/>
      <c r="I20" s="9"/>
      <c r="J20">
        <v>512</v>
      </c>
      <c r="K20">
        <v>2.5</v>
      </c>
      <c r="L20" s="2">
        <v>0.88280000000000003</v>
      </c>
      <c r="M20" s="2">
        <v>1.17E-2</v>
      </c>
      <c r="N20" s="2">
        <v>0.1055</v>
      </c>
      <c r="O20">
        <v>8330936.932</v>
      </c>
      <c r="P20" s="8"/>
      <c r="Q20" s="9"/>
      <c r="R20">
        <v>1024</v>
      </c>
      <c r="S20">
        <v>5.41</v>
      </c>
      <c r="T20" s="2">
        <v>0.88329999999999997</v>
      </c>
      <c r="U20" s="2">
        <v>1.3100000000000001E-2</v>
      </c>
      <c r="V20" s="2">
        <v>0.1036</v>
      </c>
      <c r="W20">
        <v>7680205.9460000005</v>
      </c>
      <c r="X20" s="8"/>
      <c r="Y20" s="9"/>
      <c r="Z20">
        <v>1024</v>
      </c>
      <c r="AA20">
        <v>5.31</v>
      </c>
      <c r="AB20" s="2">
        <v>0.88090000000000002</v>
      </c>
      <c r="AC20" s="2">
        <v>1.44E-2</v>
      </c>
      <c r="AD20" s="2">
        <v>0.1046</v>
      </c>
      <c r="AE20">
        <v>7828112.4740000004</v>
      </c>
      <c r="AF20" s="8"/>
      <c r="AG20" s="9"/>
      <c r="AN20" s="8"/>
    </row>
    <row r="21" spans="1:41" x14ac:dyDescent="0.2">
      <c r="A21" s="9"/>
      <c r="B21">
        <v>1024</v>
      </c>
      <c r="C21">
        <v>5.36</v>
      </c>
      <c r="D21" s="2">
        <v>0.88229999999999997</v>
      </c>
      <c r="E21" s="2">
        <v>1.2500000000000001E-2</v>
      </c>
      <c r="F21" s="2">
        <v>0.1053</v>
      </c>
      <c r="G21">
        <v>7768992.4630000005</v>
      </c>
      <c r="H21" s="8"/>
      <c r="I21" s="9"/>
      <c r="J21">
        <v>1024</v>
      </c>
      <c r="K21">
        <v>5.17</v>
      </c>
      <c r="L21" s="2">
        <v>0.88280000000000003</v>
      </c>
      <c r="M21" s="2">
        <v>1.1299999999999999E-2</v>
      </c>
      <c r="N21" s="2">
        <v>0.10589999999999999</v>
      </c>
      <c r="O21">
        <v>8052644.0779999997</v>
      </c>
      <c r="P21" s="8"/>
      <c r="Q21" s="9"/>
      <c r="R21">
        <v>2048</v>
      </c>
      <c r="S21">
        <v>11.1</v>
      </c>
      <c r="T21" s="2">
        <v>0.88260000000000005</v>
      </c>
      <c r="U21" s="2">
        <v>1.2699999999999999E-2</v>
      </c>
      <c r="V21" s="2">
        <v>0.1047</v>
      </c>
      <c r="W21">
        <v>7494120.159</v>
      </c>
      <c r="X21" s="8" t="s">
        <v>32</v>
      </c>
      <c r="Y21" s="9"/>
      <c r="Z21">
        <v>2048</v>
      </c>
      <c r="AA21">
        <v>10.94</v>
      </c>
      <c r="AB21" s="2">
        <v>0.88060000000000005</v>
      </c>
      <c r="AC21" s="2">
        <v>1.41E-2</v>
      </c>
      <c r="AD21" s="2">
        <v>0.1053</v>
      </c>
      <c r="AE21">
        <v>7607594.4689999996</v>
      </c>
      <c r="AF21" s="8" t="s">
        <v>21</v>
      </c>
      <c r="AG21" s="9"/>
      <c r="AN21" s="8"/>
    </row>
    <row r="22" spans="1:41" x14ac:dyDescent="0.2">
      <c r="A22" s="9"/>
      <c r="B22">
        <v>2048</v>
      </c>
      <c r="C22">
        <v>11.23</v>
      </c>
      <c r="D22" s="2">
        <v>0.88109999999999999</v>
      </c>
      <c r="E22" s="2">
        <v>1.44E-2</v>
      </c>
      <c r="F22" s="2">
        <v>0.1045</v>
      </c>
      <c r="G22">
        <v>7402141.7970000003</v>
      </c>
      <c r="H22" s="8" t="s">
        <v>24</v>
      </c>
      <c r="I22" s="9"/>
      <c r="J22">
        <v>2048</v>
      </c>
      <c r="K22">
        <v>10.73</v>
      </c>
      <c r="L22" s="2">
        <v>0.88239999999999996</v>
      </c>
      <c r="M22" s="2">
        <v>1.15E-2</v>
      </c>
      <c r="N22" s="2">
        <v>0.1061</v>
      </c>
      <c r="O22">
        <v>7765954.9280000003</v>
      </c>
      <c r="P22" s="8" t="s">
        <v>25</v>
      </c>
      <c r="Q22" s="9"/>
      <c r="R22">
        <v>128</v>
      </c>
      <c r="S22">
        <v>0.61</v>
      </c>
      <c r="T22" s="2">
        <v>0.88339999999999996</v>
      </c>
      <c r="U22" s="2">
        <v>1.32E-2</v>
      </c>
      <c r="V22" s="2">
        <v>0.10340000000000001</v>
      </c>
      <c r="W22">
        <v>8450256.1909999996</v>
      </c>
      <c r="X22" s="8"/>
      <c r="Y22" s="9"/>
      <c r="Z22">
        <v>128</v>
      </c>
      <c r="AA22">
        <v>0.6</v>
      </c>
      <c r="AB22" s="2">
        <v>0.8821</v>
      </c>
      <c r="AC22" s="2">
        <v>1.26E-2</v>
      </c>
      <c r="AD22" s="2">
        <v>0.1053</v>
      </c>
      <c r="AE22">
        <v>8706977.9969999995</v>
      </c>
      <c r="AF22" s="8"/>
      <c r="AG22" s="9"/>
      <c r="AN22" s="8"/>
    </row>
    <row r="23" spans="1:41" x14ac:dyDescent="0.2">
      <c r="A23" s="9"/>
      <c r="B23">
        <v>128</v>
      </c>
      <c r="C23">
        <v>0.57999999999999996</v>
      </c>
      <c r="D23" s="2">
        <v>0.88090000000000002</v>
      </c>
      <c r="E23" s="2">
        <v>1.18E-2</v>
      </c>
      <c r="F23" s="2">
        <v>0.10730000000000001</v>
      </c>
      <c r="G23">
        <v>8917519.1559999995</v>
      </c>
      <c r="H23" s="8"/>
      <c r="I23" s="9"/>
      <c r="J23">
        <v>128</v>
      </c>
      <c r="K23">
        <v>0.56999999999999995</v>
      </c>
      <c r="L23" s="2">
        <v>0.88260000000000005</v>
      </c>
      <c r="M23" s="2">
        <v>1.06E-2</v>
      </c>
      <c r="N23" s="2">
        <v>0.1067</v>
      </c>
      <c r="O23">
        <v>9157843.1620000005</v>
      </c>
      <c r="P23" s="8"/>
      <c r="Q23" s="9"/>
      <c r="R23">
        <v>256</v>
      </c>
      <c r="S23">
        <v>1.2</v>
      </c>
      <c r="T23" s="2">
        <v>0.88339999999999996</v>
      </c>
      <c r="U23" s="2">
        <v>1.14E-2</v>
      </c>
      <c r="V23" s="2">
        <v>0.1052</v>
      </c>
      <c r="W23">
        <v>8674464.3550000004</v>
      </c>
      <c r="X23" s="8"/>
      <c r="Y23" s="9"/>
      <c r="Z23">
        <v>256</v>
      </c>
      <c r="AA23">
        <v>1.22</v>
      </c>
      <c r="AB23" s="2">
        <v>0.88319999999999999</v>
      </c>
      <c r="AC23" s="2">
        <v>1.1299999999999999E-2</v>
      </c>
      <c r="AD23" s="2">
        <v>0.1055</v>
      </c>
      <c r="AE23">
        <v>8554004.727</v>
      </c>
      <c r="AF23" s="8"/>
      <c r="AG23" s="9"/>
      <c r="AN23" s="8"/>
    </row>
    <row r="24" spans="1:41" x14ac:dyDescent="0.2">
      <c r="A24" s="9"/>
      <c r="B24">
        <v>256</v>
      </c>
      <c r="C24">
        <v>1.25</v>
      </c>
      <c r="D24" s="2">
        <v>0.88090000000000002</v>
      </c>
      <c r="E24" s="2">
        <v>1.26E-2</v>
      </c>
      <c r="F24" s="2">
        <v>0.1066</v>
      </c>
      <c r="G24">
        <v>8310961.0300000003</v>
      </c>
      <c r="H24" s="8"/>
      <c r="I24" s="9"/>
      <c r="J24">
        <v>256</v>
      </c>
      <c r="K24">
        <v>1.21</v>
      </c>
      <c r="L24" s="2">
        <v>0.88239999999999996</v>
      </c>
      <c r="M24" s="2">
        <v>1.1299999999999999E-2</v>
      </c>
      <c r="N24" s="2">
        <v>0.10630000000000001</v>
      </c>
      <c r="O24">
        <v>8595728.8049999997</v>
      </c>
      <c r="P24" s="8"/>
      <c r="Q24" s="9"/>
      <c r="R24">
        <v>512</v>
      </c>
      <c r="S24">
        <v>2.4900000000000002</v>
      </c>
      <c r="T24" s="2">
        <v>0.8821</v>
      </c>
      <c r="U24" s="2">
        <v>1.1599999999999999E-2</v>
      </c>
      <c r="V24" s="2">
        <v>0.10630000000000001</v>
      </c>
      <c r="W24">
        <v>8365979.2359999996</v>
      </c>
      <c r="X24" s="8"/>
      <c r="Y24" s="9"/>
      <c r="Z24">
        <v>512</v>
      </c>
      <c r="AA24">
        <v>2.5299999999999998</v>
      </c>
      <c r="AB24" s="2">
        <v>0.88070000000000004</v>
      </c>
      <c r="AC24" s="2">
        <v>1.38E-2</v>
      </c>
      <c r="AD24" s="2">
        <v>0.1056</v>
      </c>
      <c r="AE24">
        <v>8224637.9689999996</v>
      </c>
      <c r="AF24" s="8"/>
      <c r="AG24" s="9"/>
      <c r="AN24" s="8"/>
    </row>
    <row r="25" spans="1:41" x14ac:dyDescent="0.2">
      <c r="A25" s="9"/>
      <c r="B25">
        <v>512</v>
      </c>
      <c r="C25">
        <v>2.5499999999999998</v>
      </c>
      <c r="D25" s="2">
        <v>0.88260000000000005</v>
      </c>
      <c r="E25" s="2">
        <v>1.1599999999999999E-2</v>
      </c>
      <c r="F25" s="2">
        <v>0.10580000000000001</v>
      </c>
      <c r="G25">
        <v>8179456.3669999996</v>
      </c>
      <c r="H25" s="8"/>
      <c r="I25" s="9"/>
      <c r="J25">
        <v>512</v>
      </c>
      <c r="K25">
        <v>2.5499999999999998</v>
      </c>
      <c r="L25" s="2">
        <v>0.88400000000000001</v>
      </c>
      <c r="M25" s="2">
        <v>1.14E-2</v>
      </c>
      <c r="N25" s="2">
        <v>0.1046</v>
      </c>
      <c r="O25">
        <v>8140356.6459999997</v>
      </c>
      <c r="P25" s="8"/>
      <c r="Q25" s="9"/>
      <c r="R25">
        <v>1024</v>
      </c>
      <c r="S25">
        <v>5.25</v>
      </c>
      <c r="T25" s="2">
        <v>0.88290000000000002</v>
      </c>
      <c r="U25" s="2">
        <v>1.2E-2</v>
      </c>
      <c r="V25" s="2">
        <v>0.1051</v>
      </c>
      <c r="W25">
        <v>7924541.0719999997</v>
      </c>
      <c r="X25" s="8"/>
      <c r="Y25" s="9"/>
      <c r="Z25">
        <v>1024</v>
      </c>
      <c r="AA25">
        <v>5.26</v>
      </c>
      <c r="AB25" s="2">
        <v>0.88149999999999995</v>
      </c>
      <c r="AC25" s="2">
        <v>1.2699999999999999E-2</v>
      </c>
      <c r="AD25" s="2">
        <v>0.10580000000000001</v>
      </c>
      <c r="AE25">
        <v>7910717.8480000002</v>
      </c>
      <c r="AF25" s="8"/>
      <c r="AG25" s="9"/>
      <c r="AN25" s="8"/>
    </row>
    <row r="26" spans="1:41" x14ac:dyDescent="0.2">
      <c r="A26" s="9"/>
      <c r="B26">
        <v>1024</v>
      </c>
      <c r="C26">
        <v>5.47</v>
      </c>
      <c r="D26" s="2">
        <v>0.88149999999999995</v>
      </c>
      <c r="E26" s="2">
        <v>1.4500000000000001E-2</v>
      </c>
      <c r="F26" s="2">
        <v>0.104</v>
      </c>
      <c r="G26">
        <v>7594455.8490000004</v>
      </c>
      <c r="H26" s="8"/>
      <c r="I26" s="9"/>
      <c r="J26">
        <v>1024</v>
      </c>
      <c r="K26">
        <v>5.27</v>
      </c>
      <c r="L26" s="2">
        <v>0.88360000000000005</v>
      </c>
      <c r="M26" s="2">
        <v>1.12E-2</v>
      </c>
      <c r="N26" s="2">
        <v>0.1052</v>
      </c>
      <c r="O26">
        <v>7893388.5099999998</v>
      </c>
      <c r="P26" s="8"/>
      <c r="Q26" s="9"/>
      <c r="R26">
        <v>2048</v>
      </c>
      <c r="S26">
        <v>10.86</v>
      </c>
      <c r="T26" s="2">
        <v>0.88280000000000003</v>
      </c>
      <c r="U26" s="2">
        <v>1.15E-2</v>
      </c>
      <c r="V26" s="2">
        <v>0.1057</v>
      </c>
      <c r="W26">
        <v>7666593.7400000002</v>
      </c>
      <c r="X26" s="8" t="s">
        <v>25</v>
      </c>
      <c r="Y26" s="9"/>
      <c r="Z26">
        <v>2048</v>
      </c>
      <c r="AA26">
        <v>10.82</v>
      </c>
      <c r="AB26" s="2">
        <v>0.88219999999999998</v>
      </c>
      <c r="AC26" s="2">
        <v>1.18E-2</v>
      </c>
      <c r="AD26" s="2">
        <v>0.106</v>
      </c>
      <c r="AE26">
        <v>7700945.6830000002</v>
      </c>
      <c r="AF26" s="8" t="s">
        <v>29</v>
      </c>
      <c r="AG26" s="9"/>
      <c r="AN26" s="8"/>
    </row>
    <row r="27" spans="1:41" ht="17" thickBot="1" x14ac:dyDescent="0.25">
      <c r="A27" s="10"/>
      <c r="B27" s="11">
        <v>2048</v>
      </c>
      <c r="C27" s="11">
        <v>11.22</v>
      </c>
      <c r="D27" s="12">
        <v>0.88080000000000003</v>
      </c>
      <c r="E27" s="12">
        <v>1.44E-2</v>
      </c>
      <c r="F27" s="12">
        <v>0.1048</v>
      </c>
      <c r="G27" s="11">
        <v>7412160.7750000004</v>
      </c>
      <c r="H27" s="13" t="s">
        <v>34</v>
      </c>
      <c r="I27" s="10"/>
      <c r="J27" s="11">
        <v>2048</v>
      </c>
      <c r="K27" s="11">
        <v>10.93</v>
      </c>
      <c r="L27" s="12">
        <v>0.88329999999999997</v>
      </c>
      <c r="M27" s="12">
        <v>1.1599999999999999E-2</v>
      </c>
      <c r="N27" s="12">
        <v>0.1051</v>
      </c>
      <c r="O27" s="11">
        <v>7609922.1610000003</v>
      </c>
      <c r="P27" s="13" t="s">
        <v>32</v>
      </c>
      <c r="Q27" s="10"/>
      <c r="R27" s="11"/>
      <c r="S27" s="11"/>
      <c r="T27" s="12"/>
      <c r="U27" s="12"/>
      <c r="V27" s="12"/>
      <c r="W27" s="11"/>
      <c r="X27" s="13"/>
      <c r="Y27" s="10"/>
      <c r="Z27" s="11"/>
      <c r="AA27" s="11"/>
      <c r="AB27" s="12"/>
      <c r="AC27" s="12"/>
      <c r="AD27" s="12"/>
      <c r="AE27" s="11"/>
      <c r="AF27" s="13"/>
      <c r="AG27" s="10"/>
      <c r="AH27" s="11"/>
      <c r="AI27" s="11"/>
      <c r="AJ27" s="12"/>
      <c r="AK27" s="12"/>
      <c r="AL27" s="12"/>
      <c r="AM27" s="11"/>
      <c r="AN27" s="13"/>
    </row>
    <row r="28" spans="1:41" x14ac:dyDescent="0.2">
      <c r="A28" s="1"/>
    </row>
    <row r="29" spans="1:41" ht="17" thickBot="1" x14ac:dyDescent="0.25"/>
    <row r="30" spans="1:41" ht="17" thickBot="1" x14ac:dyDescent="0.25">
      <c r="A30" s="3" t="s">
        <v>55</v>
      </c>
      <c r="B30" s="4" t="s">
        <v>6</v>
      </c>
      <c r="C30" s="4" t="s">
        <v>5</v>
      </c>
      <c r="D30" s="19" t="s">
        <v>4</v>
      </c>
      <c r="E30" s="19" t="s">
        <v>3</v>
      </c>
      <c r="F30" s="19" t="s">
        <v>2</v>
      </c>
      <c r="G30" s="4" t="s">
        <v>1</v>
      </c>
      <c r="H30" s="6" t="s">
        <v>48</v>
      </c>
      <c r="I30" s="3" t="s">
        <v>55</v>
      </c>
      <c r="J30" s="4" t="s">
        <v>6</v>
      </c>
      <c r="K30" s="4" t="s">
        <v>5</v>
      </c>
      <c r="L30" s="19" t="s">
        <v>4</v>
      </c>
      <c r="M30" s="19" t="s">
        <v>3</v>
      </c>
      <c r="N30" s="19" t="s">
        <v>2</v>
      </c>
      <c r="O30" s="4" t="s">
        <v>1</v>
      </c>
      <c r="P30" s="6" t="s">
        <v>48</v>
      </c>
      <c r="Q30" s="3" t="s">
        <v>55</v>
      </c>
      <c r="R30" s="4" t="s">
        <v>6</v>
      </c>
      <c r="S30" s="4" t="s">
        <v>5</v>
      </c>
      <c r="T30" s="19" t="s">
        <v>4</v>
      </c>
      <c r="U30" s="19" t="s">
        <v>3</v>
      </c>
      <c r="V30" s="19" t="s">
        <v>2</v>
      </c>
      <c r="W30" s="4" t="s">
        <v>1</v>
      </c>
      <c r="X30" s="6" t="s">
        <v>48</v>
      </c>
      <c r="Y30" s="3" t="s">
        <v>55</v>
      </c>
      <c r="Z30" s="4" t="s">
        <v>6</v>
      </c>
      <c r="AA30" s="4" t="s">
        <v>5</v>
      </c>
      <c r="AB30" s="19" t="s">
        <v>4</v>
      </c>
      <c r="AC30" s="19" t="s">
        <v>3</v>
      </c>
      <c r="AD30" s="19" t="s">
        <v>2</v>
      </c>
      <c r="AE30" s="4" t="s">
        <v>1</v>
      </c>
      <c r="AF30" s="6" t="s">
        <v>48</v>
      </c>
      <c r="AG30" s="3" t="s">
        <v>55</v>
      </c>
      <c r="AH30" s="4" t="s">
        <v>6</v>
      </c>
      <c r="AI30" s="4" t="s">
        <v>5</v>
      </c>
      <c r="AJ30" s="19" t="s">
        <v>4</v>
      </c>
      <c r="AK30" s="19" t="s">
        <v>3</v>
      </c>
      <c r="AL30" s="19" t="s">
        <v>2</v>
      </c>
      <c r="AM30" s="4" t="s">
        <v>1</v>
      </c>
      <c r="AN30" s="6" t="s">
        <v>48</v>
      </c>
      <c r="AO30" t="s">
        <v>46</v>
      </c>
    </row>
    <row r="31" spans="1:41" x14ac:dyDescent="0.2">
      <c r="A31" s="32" t="s">
        <v>56</v>
      </c>
      <c r="B31" s="29">
        <v>4096</v>
      </c>
      <c r="C31" s="29">
        <v>21.59</v>
      </c>
      <c r="D31" s="30">
        <v>0.8831</v>
      </c>
      <c r="E31" s="30">
        <v>1.3599999999999999E-2</v>
      </c>
      <c r="F31" s="30">
        <v>0.1033</v>
      </c>
      <c r="G31" s="29">
        <v>7694345.5580000002</v>
      </c>
      <c r="H31" s="31">
        <v>65</v>
      </c>
      <c r="I31" s="28" t="s">
        <v>57</v>
      </c>
      <c r="J31" s="29">
        <v>4096</v>
      </c>
      <c r="K31" s="29">
        <v>20.76</v>
      </c>
      <c r="L31" s="30">
        <v>0.88300000000000001</v>
      </c>
      <c r="M31" s="30">
        <v>1.0699999999999999E-2</v>
      </c>
      <c r="N31" s="30">
        <v>0.10630000000000001</v>
      </c>
      <c r="O31" s="29">
        <v>8027219.0319999997</v>
      </c>
      <c r="P31" s="31">
        <v>40</v>
      </c>
      <c r="Q31" s="28" t="s">
        <v>58</v>
      </c>
      <c r="R31" s="29">
        <v>2048</v>
      </c>
      <c r="S31" s="29">
        <v>10.77</v>
      </c>
      <c r="T31" s="30">
        <v>0.88480000000000003</v>
      </c>
      <c r="U31" s="30">
        <v>1.23E-2</v>
      </c>
      <c r="V31" s="30">
        <v>0.1028</v>
      </c>
      <c r="W31" s="29">
        <v>7704197.1859999998</v>
      </c>
      <c r="X31" s="31">
        <v>21</v>
      </c>
      <c r="Y31" s="28" t="s">
        <v>59</v>
      </c>
      <c r="Z31" s="29">
        <v>2048</v>
      </c>
      <c r="AA31" s="29">
        <v>10.64</v>
      </c>
      <c r="AB31" s="30">
        <v>0.87970000000000004</v>
      </c>
      <c r="AC31" s="30">
        <v>1.5299999999999999E-2</v>
      </c>
      <c r="AD31" s="30">
        <v>0.10489999999999999</v>
      </c>
      <c r="AE31" s="29">
        <v>7818068.4100000001</v>
      </c>
      <c r="AF31" s="31">
        <v>41</v>
      </c>
      <c r="AG31" s="28" t="s">
        <v>60</v>
      </c>
      <c r="AH31" s="29">
        <v>0</v>
      </c>
      <c r="AI31" s="29">
        <v>0</v>
      </c>
      <c r="AJ31" s="30">
        <v>0</v>
      </c>
      <c r="AK31" s="30">
        <v>0</v>
      </c>
      <c r="AL31" s="30">
        <v>0</v>
      </c>
      <c r="AM31" s="29">
        <v>0</v>
      </c>
      <c r="AN31" s="31">
        <v>600</v>
      </c>
    </row>
    <row r="32" spans="1:41" x14ac:dyDescent="0.2">
      <c r="A32" s="9"/>
      <c r="B32">
        <v>2048</v>
      </c>
      <c r="C32">
        <v>10.96</v>
      </c>
      <c r="D32" s="2">
        <v>0.88280000000000003</v>
      </c>
      <c r="E32" s="2">
        <v>1.23E-2</v>
      </c>
      <c r="F32" s="2">
        <v>0.1048</v>
      </c>
      <c r="G32">
        <v>7590663.3099999996</v>
      </c>
      <c r="H32" s="8">
        <v>27</v>
      </c>
      <c r="I32" s="9"/>
      <c r="J32">
        <v>2048</v>
      </c>
      <c r="K32">
        <v>10.76</v>
      </c>
      <c r="L32" s="2">
        <v>0.88219999999999998</v>
      </c>
      <c r="M32" s="2">
        <v>1.21E-2</v>
      </c>
      <c r="N32" s="2">
        <v>0.10580000000000001</v>
      </c>
      <c r="O32">
        <v>7735744.2709999997</v>
      </c>
      <c r="P32" s="8">
        <v>21</v>
      </c>
      <c r="Q32" s="9"/>
      <c r="R32">
        <v>2048</v>
      </c>
      <c r="S32">
        <v>10.59</v>
      </c>
      <c r="T32" s="2">
        <v>0.8831</v>
      </c>
      <c r="U32" s="2">
        <v>1.14E-2</v>
      </c>
      <c r="V32" s="2">
        <v>0.1055</v>
      </c>
      <c r="W32">
        <v>7862200.9939999999</v>
      </c>
      <c r="X32" s="8">
        <v>21</v>
      </c>
      <c r="Y32" s="9"/>
      <c r="Z32">
        <v>2048</v>
      </c>
      <c r="AA32">
        <v>10.68</v>
      </c>
      <c r="AB32" s="2">
        <v>0.87829999999999997</v>
      </c>
      <c r="AC32" s="2">
        <v>1.5599999999999999E-2</v>
      </c>
      <c r="AD32" s="2">
        <v>0.1061</v>
      </c>
      <c r="AE32">
        <v>7799282.5290000001</v>
      </c>
      <c r="AF32" s="8">
        <v>35</v>
      </c>
      <c r="AG32" s="9"/>
      <c r="AH32">
        <v>0</v>
      </c>
      <c r="AI32">
        <v>0</v>
      </c>
      <c r="AJ32" s="2">
        <v>0</v>
      </c>
      <c r="AK32" s="2">
        <v>0</v>
      </c>
      <c r="AL32" s="2">
        <v>0</v>
      </c>
      <c r="AM32">
        <v>0</v>
      </c>
      <c r="AN32" s="8">
        <v>600</v>
      </c>
    </row>
    <row r="33" spans="1:41" x14ac:dyDescent="0.2">
      <c r="A33" s="9"/>
      <c r="B33">
        <v>2048</v>
      </c>
      <c r="C33">
        <v>11.01</v>
      </c>
      <c r="D33" s="2">
        <v>0.88200000000000001</v>
      </c>
      <c r="E33" s="2">
        <v>1.21E-2</v>
      </c>
      <c r="F33" s="2">
        <v>0.10589999999999999</v>
      </c>
      <c r="G33">
        <v>7564105.2079999996</v>
      </c>
      <c r="H33" s="8">
        <v>30</v>
      </c>
      <c r="I33" s="9"/>
      <c r="J33">
        <v>2048</v>
      </c>
      <c r="K33">
        <v>10.77</v>
      </c>
      <c r="L33" s="2">
        <v>0.88180000000000003</v>
      </c>
      <c r="M33" s="2">
        <v>1.17E-2</v>
      </c>
      <c r="N33" s="2">
        <v>0.10639999999999999</v>
      </c>
      <c r="O33">
        <v>7734251.4340000004</v>
      </c>
      <c r="P33" s="8">
        <v>21</v>
      </c>
      <c r="Q33" s="9"/>
      <c r="R33">
        <v>2048</v>
      </c>
      <c r="S33">
        <v>10.61</v>
      </c>
      <c r="T33" s="2">
        <v>0.88129999999999997</v>
      </c>
      <c r="U33" s="2">
        <v>1.1900000000000001E-2</v>
      </c>
      <c r="V33" s="2">
        <v>0.1069</v>
      </c>
      <c r="W33">
        <v>7857549.3339999998</v>
      </c>
      <c r="X33" s="8">
        <v>21</v>
      </c>
      <c r="Y33" s="9"/>
      <c r="Z33">
        <v>2048</v>
      </c>
      <c r="AA33">
        <v>11.12</v>
      </c>
      <c r="AB33" s="2">
        <v>0.88139999999999996</v>
      </c>
      <c r="AC33" s="2">
        <v>1.3100000000000001E-2</v>
      </c>
      <c r="AD33" s="2">
        <v>0.1055</v>
      </c>
      <c r="AE33">
        <v>7483546.1090000002</v>
      </c>
      <c r="AF33" s="8">
        <v>38</v>
      </c>
      <c r="AG33" s="9"/>
      <c r="AH33">
        <v>0</v>
      </c>
      <c r="AI33">
        <v>0</v>
      </c>
      <c r="AJ33" s="2">
        <v>0</v>
      </c>
      <c r="AK33" s="2">
        <v>0</v>
      </c>
      <c r="AL33" s="2">
        <v>0</v>
      </c>
      <c r="AM33">
        <v>0</v>
      </c>
      <c r="AN33" s="8">
        <v>600</v>
      </c>
    </row>
    <row r="34" spans="1:41" x14ac:dyDescent="0.2">
      <c r="A34" s="9"/>
      <c r="B34">
        <v>2048</v>
      </c>
      <c r="C34">
        <v>11.23</v>
      </c>
      <c r="D34" s="2">
        <v>0.88109999999999999</v>
      </c>
      <c r="E34" s="2">
        <v>1.44E-2</v>
      </c>
      <c r="F34" s="2">
        <v>0.1045</v>
      </c>
      <c r="G34">
        <v>7402141.7970000003</v>
      </c>
      <c r="H34" s="8">
        <v>36</v>
      </c>
      <c r="I34" s="9"/>
      <c r="J34">
        <v>2048</v>
      </c>
      <c r="K34">
        <v>10.73</v>
      </c>
      <c r="L34" s="2">
        <v>0.88239999999999996</v>
      </c>
      <c r="M34" s="2">
        <v>1.15E-2</v>
      </c>
      <c r="N34" s="2">
        <v>0.1061</v>
      </c>
      <c r="O34">
        <v>7765954.9280000003</v>
      </c>
      <c r="P34" s="8">
        <v>21</v>
      </c>
      <c r="Q34" s="9"/>
      <c r="R34">
        <v>2048</v>
      </c>
      <c r="S34">
        <v>11.1</v>
      </c>
      <c r="T34" s="2">
        <v>0.88260000000000005</v>
      </c>
      <c r="U34" s="2">
        <v>1.2699999999999999E-2</v>
      </c>
      <c r="V34" s="2">
        <v>0.1047</v>
      </c>
      <c r="W34">
        <v>7494120.159</v>
      </c>
      <c r="X34" s="8">
        <v>22</v>
      </c>
      <c r="Y34" s="9"/>
      <c r="Z34">
        <v>2048</v>
      </c>
      <c r="AA34">
        <v>10.94</v>
      </c>
      <c r="AB34" s="2">
        <v>0.88060000000000005</v>
      </c>
      <c r="AC34" s="2">
        <v>1.41E-2</v>
      </c>
      <c r="AD34" s="2">
        <v>0.1053</v>
      </c>
      <c r="AE34">
        <v>7607594.4689999996</v>
      </c>
      <c r="AF34" s="8">
        <v>40</v>
      </c>
      <c r="AG34" s="9"/>
      <c r="AH34">
        <v>0</v>
      </c>
      <c r="AI34">
        <v>0</v>
      </c>
      <c r="AJ34" s="2">
        <v>0</v>
      </c>
      <c r="AK34" s="2">
        <v>0</v>
      </c>
      <c r="AL34" s="2">
        <v>0</v>
      </c>
      <c r="AM34">
        <v>0</v>
      </c>
      <c r="AN34" s="8">
        <v>600</v>
      </c>
    </row>
    <row r="35" spans="1:41" ht="17" thickBot="1" x14ac:dyDescent="0.25">
      <c r="A35" s="14"/>
      <c r="B35" s="11">
        <v>2048</v>
      </c>
      <c r="C35" s="11">
        <v>11.22</v>
      </c>
      <c r="D35" s="12">
        <v>0.88080000000000003</v>
      </c>
      <c r="E35" s="12">
        <v>1.44E-2</v>
      </c>
      <c r="F35" s="12">
        <v>0.1048</v>
      </c>
      <c r="G35" s="11">
        <v>7412160.7750000004</v>
      </c>
      <c r="H35" s="13">
        <v>38</v>
      </c>
      <c r="I35" s="10"/>
      <c r="J35" s="11">
        <v>2048</v>
      </c>
      <c r="K35" s="11">
        <v>10.93</v>
      </c>
      <c r="L35" s="12">
        <v>0.88329999999999997</v>
      </c>
      <c r="M35" s="12">
        <v>1.1599999999999999E-2</v>
      </c>
      <c r="N35" s="12">
        <v>0.1051</v>
      </c>
      <c r="O35" s="11">
        <v>7609922.1610000003</v>
      </c>
      <c r="P35" s="13">
        <v>22</v>
      </c>
      <c r="Q35" s="10"/>
      <c r="R35" s="11">
        <v>2048</v>
      </c>
      <c r="S35" s="11">
        <v>10.86</v>
      </c>
      <c r="T35" s="12">
        <v>0.88280000000000003</v>
      </c>
      <c r="U35" s="12">
        <v>1.15E-2</v>
      </c>
      <c r="V35" s="12">
        <v>0.1057</v>
      </c>
      <c r="W35" s="11">
        <v>7666593.7400000002</v>
      </c>
      <c r="X35" s="13">
        <v>21</v>
      </c>
      <c r="Y35" s="10"/>
      <c r="Z35" s="11">
        <v>2048</v>
      </c>
      <c r="AA35" s="11">
        <v>10.82</v>
      </c>
      <c r="AB35" s="12">
        <v>0.88219999999999998</v>
      </c>
      <c r="AC35" s="12">
        <v>1.18E-2</v>
      </c>
      <c r="AD35" s="12">
        <v>0.106</v>
      </c>
      <c r="AE35" s="11">
        <v>7700945.6830000002</v>
      </c>
      <c r="AF35" s="13">
        <v>28</v>
      </c>
      <c r="AG35" s="10"/>
      <c r="AH35" s="11">
        <v>0</v>
      </c>
      <c r="AI35" s="11">
        <v>0</v>
      </c>
      <c r="AJ35" s="12">
        <v>0</v>
      </c>
      <c r="AK35" s="12">
        <v>0</v>
      </c>
      <c r="AL35" s="12">
        <v>0</v>
      </c>
      <c r="AM35" s="11">
        <v>0</v>
      </c>
      <c r="AN35" s="13">
        <v>601</v>
      </c>
    </row>
    <row r="36" spans="1:41" x14ac:dyDescent="0.2">
      <c r="A36" s="16" t="s">
        <v>47</v>
      </c>
      <c r="B36" s="17">
        <f>AVERAGE(B31:B35)</f>
        <v>2457.6</v>
      </c>
      <c r="C36" s="17">
        <f t="shared" ref="C36:AN36" si="0">AVERAGE(C31:C35)</f>
        <v>13.201999999999998</v>
      </c>
      <c r="D36" s="18">
        <f t="shared" si="0"/>
        <v>0.88195999999999997</v>
      </c>
      <c r="E36" s="18">
        <f t="shared" si="0"/>
        <v>1.336E-2</v>
      </c>
      <c r="F36" s="18">
        <f t="shared" si="0"/>
        <v>0.10466</v>
      </c>
      <c r="G36" s="17">
        <f t="shared" si="0"/>
        <v>7532683.3296000008</v>
      </c>
      <c r="H36" s="17">
        <f t="shared" si="0"/>
        <v>39.200000000000003</v>
      </c>
      <c r="I36" s="17"/>
      <c r="J36" s="17">
        <f t="shared" si="0"/>
        <v>2457.6</v>
      </c>
      <c r="K36" s="17">
        <f t="shared" si="0"/>
        <v>12.790000000000003</v>
      </c>
      <c r="L36" s="18">
        <f t="shared" si="0"/>
        <v>0.88253999999999999</v>
      </c>
      <c r="M36" s="18">
        <f t="shared" si="0"/>
        <v>1.1519999999999999E-2</v>
      </c>
      <c r="N36" s="18">
        <f t="shared" si="0"/>
        <v>0.10593999999999999</v>
      </c>
      <c r="O36" s="17">
        <f t="shared" si="0"/>
        <v>7774618.3651999999</v>
      </c>
      <c r="P36" s="17">
        <f t="shared" si="0"/>
        <v>25</v>
      </c>
      <c r="Q36" s="17"/>
      <c r="R36" s="17">
        <f t="shared" si="0"/>
        <v>2048</v>
      </c>
      <c r="S36" s="17">
        <f t="shared" si="0"/>
        <v>10.786</v>
      </c>
      <c r="T36" s="18">
        <f t="shared" si="0"/>
        <v>0.88292000000000004</v>
      </c>
      <c r="U36" s="18">
        <f t="shared" si="0"/>
        <v>1.1959999999999998E-2</v>
      </c>
      <c r="V36" s="18">
        <f t="shared" si="0"/>
        <v>0.10511999999999999</v>
      </c>
      <c r="W36" s="17">
        <f t="shared" si="0"/>
        <v>7716932.2826000005</v>
      </c>
      <c r="X36" s="17">
        <f t="shared" si="0"/>
        <v>21.2</v>
      </c>
      <c r="Y36" s="17"/>
      <c r="Z36" s="17">
        <f t="shared" si="0"/>
        <v>2048</v>
      </c>
      <c r="AA36" s="17">
        <f t="shared" si="0"/>
        <v>10.84</v>
      </c>
      <c r="AB36" s="18">
        <f t="shared" si="0"/>
        <v>0.88044000000000011</v>
      </c>
      <c r="AC36" s="18">
        <f t="shared" si="0"/>
        <v>1.3980000000000001E-2</v>
      </c>
      <c r="AD36" s="18">
        <f t="shared" si="0"/>
        <v>0.10556000000000001</v>
      </c>
      <c r="AE36" s="17">
        <f t="shared" si="0"/>
        <v>7681887.4400000004</v>
      </c>
      <c r="AF36" s="17">
        <f t="shared" si="0"/>
        <v>36.4</v>
      </c>
      <c r="AG36" s="17"/>
      <c r="AH36" s="17">
        <f>AVERAGE(AH31:AH35)</f>
        <v>0</v>
      </c>
      <c r="AI36" s="17">
        <f t="shared" si="0"/>
        <v>0</v>
      </c>
      <c r="AJ36" s="18">
        <f t="shared" si="0"/>
        <v>0</v>
      </c>
      <c r="AK36" s="18">
        <f t="shared" si="0"/>
        <v>0</v>
      </c>
      <c r="AL36" s="18">
        <f t="shared" si="0"/>
        <v>0</v>
      </c>
      <c r="AM36" s="17">
        <f t="shared" si="0"/>
        <v>0</v>
      </c>
      <c r="AN36" s="17">
        <f t="shared" si="0"/>
        <v>600.20000000000005</v>
      </c>
    </row>
    <row r="37" spans="1:41" x14ac:dyDescent="0.2">
      <c r="A37" s="20" t="s">
        <v>49</v>
      </c>
      <c r="B37" s="21">
        <f>STDEV(B31:B35)</f>
        <v>915.89344358391372</v>
      </c>
      <c r="C37" s="21">
        <f t="shared" ref="C37:AN37" si="1">STDEV(C31:C35)</f>
        <v>4.6906044386624712</v>
      </c>
      <c r="D37" s="22">
        <f t="shared" si="1"/>
        <v>1.0114346246792212E-3</v>
      </c>
      <c r="E37" s="22">
        <f t="shared" si="1"/>
        <v>1.1104053313993046E-3</v>
      </c>
      <c r="F37" s="22">
        <f t="shared" si="1"/>
        <v>9.2897793299948485E-4</v>
      </c>
      <c r="G37" s="21">
        <f>STDEV(G31:G35)</f>
        <v>124549.6553201666</v>
      </c>
      <c r="H37" s="21">
        <f t="shared" si="1"/>
        <v>15.089731607951151</v>
      </c>
      <c r="I37" s="21"/>
      <c r="J37" s="21">
        <f t="shared" si="1"/>
        <v>915.89344358391372</v>
      </c>
      <c r="K37" s="21">
        <f t="shared" si="1"/>
        <v>4.4560464539768807</v>
      </c>
      <c r="L37" s="22">
        <f t="shared" si="1"/>
        <v>6.0663003552411309E-4</v>
      </c>
      <c r="M37" s="22">
        <f t="shared" si="1"/>
        <v>5.1185935568278924E-4</v>
      </c>
      <c r="N37" s="22">
        <f t="shared" si="1"/>
        <v>5.2249401910452512E-4</v>
      </c>
      <c r="O37" s="21">
        <f t="shared" si="1"/>
        <v>153417.46643080341</v>
      </c>
      <c r="P37" s="21">
        <f t="shared" si="1"/>
        <v>8.3964278118733322</v>
      </c>
      <c r="Q37" s="21"/>
      <c r="R37" s="21">
        <f t="shared" si="1"/>
        <v>0</v>
      </c>
      <c r="S37" s="21">
        <f t="shared" si="1"/>
        <v>0.20839865642561131</v>
      </c>
      <c r="T37" s="22">
        <f t="shared" si="1"/>
        <v>1.2557866060760646E-3</v>
      </c>
      <c r="U37" s="22">
        <f t="shared" si="1"/>
        <v>5.45893762558247E-4</v>
      </c>
      <c r="V37" s="22">
        <f t="shared" si="1"/>
        <v>1.5172343260024118E-3</v>
      </c>
      <c r="W37" s="21">
        <f t="shared" si="1"/>
        <v>152657.74434653789</v>
      </c>
      <c r="X37" s="21">
        <f t="shared" si="1"/>
        <v>0.44721359549995793</v>
      </c>
      <c r="Y37" s="21"/>
      <c r="Z37" s="21">
        <f t="shared" si="1"/>
        <v>0</v>
      </c>
      <c r="AA37" s="21">
        <f t="shared" si="1"/>
        <v>0.19646882704388458</v>
      </c>
      <c r="AB37" s="22">
        <f t="shared" si="1"/>
        <v>1.5142654985173473E-3</v>
      </c>
      <c r="AC37" s="22">
        <f t="shared" si="1"/>
        <v>1.5738487856207786E-3</v>
      </c>
      <c r="AD37" s="22">
        <f t="shared" si="1"/>
        <v>4.9799598391955032E-4</v>
      </c>
      <c r="AE37" s="21">
        <f t="shared" si="1"/>
        <v>139237.93418153361</v>
      </c>
      <c r="AF37" s="21">
        <f t="shared" si="1"/>
        <v>5.2249401910452482</v>
      </c>
      <c r="AG37" s="21"/>
      <c r="AH37" s="21">
        <f>STDEV(AH31:AH35)</f>
        <v>0</v>
      </c>
      <c r="AI37" s="21">
        <f t="shared" si="1"/>
        <v>0</v>
      </c>
      <c r="AJ37" s="22">
        <f t="shared" si="1"/>
        <v>0</v>
      </c>
      <c r="AK37" s="22">
        <f t="shared" si="1"/>
        <v>0</v>
      </c>
      <c r="AL37" s="22">
        <f t="shared" si="1"/>
        <v>0</v>
      </c>
      <c r="AM37" s="21">
        <f t="shared" si="1"/>
        <v>0</v>
      </c>
      <c r="AN37" s="21">
        <f t="shared" si="1"/>
        <v>0.44721359549995793</v>
      </c>
    </row>
    <row r="39" spans="1:41" ht="17" thickBot="1" x14ac:dyDescent="0.25"/>
    <row r="40" spans="1:41" ht="17" thickBot="1" x14ac:dyDescent="0.25">
      <c r="A40" s="3" t="s">
        <v>55</v>
      </c>
      <c r="B40" s="4" t="s">
        <v>6</v>
      </c>
      <c r="C40" s="4" t="s">
        <v>5</v>
      </c>
      <c r="D40" s="19" t="s">
        <v>4</v>
      </c>
      <c r="E40" s="19" t="s">
        <v>3</v>
      </c>
      <c r="F40" s="19" t="s">
        <v>2</v>
      </c>
      <c r="G40" s="4" t="s">
        <v>1</v>
      </c>
      <c r="H40" s="6" t="s">
        <v>48</v>
      </c>
      <c r="I40" s="3" t="s">
        <v>55</v>
      </c>
      <c r="J40" s="4" t="s">
        <v>6</v>
      </c>
      <c r="K40" s="4" t="s">
        <v>5</v>
      </c>
      <c r="L40" s="19" t="s">
        <v>4</v>
      </c>
      <c r="M40" s="19" t="s">
        <v>3</v>
      </c>
      <c r="N40" s="19" t="s">
        <v>2</v>
      </c>
      <c r="O40" s="4" t="s">
        <v>1</v>
      </c>
      <c r="P40" s="6" t="s">
        <v>48</v>
      </c>
      <c r="Q40" s="3" t="s">
        <v>55</v>
      </c>
      <c r="R40" s="4" t="s">
        <v>6</v>
      </c>
      <c r="S40" s="4" t="s">
        <v>5</v>
      </c>
      <c r="T40" s="19" t="s">
        <v>4</v>
      </c>
      <c r="U40" s="19" t="s">
        <v>3</v>
      </c>
      <c r="V40" s="19" t="s">
        <v>2</v>
      </c>
      <c r="W40" s="4" t="s">
        <v>1</v>
      </c>
      <c r="X40" s="6" t="s">
        <v>48</v>
      </c>
      <c r="Y40" s="3" t="s">
        <v>55</v>
      </c>
      <c r="Z40" s="4" t="s">
        <v>6</v>
      </c>
      <c r="AA40" s="4" t="s">
        <v>5</v>
      </c>
      <c r="AB40" s="19" t="s">
        <v>4</v>
      </c>
      <c r="AC40" s="19" t="s">
        <v>3</v>
      </c>
      <c r="AD40" s="19" t="s">
        <v>2</v>
      </c>
      <c r="AE40" s="4" t="s">
        <v>1</v>
      </c>
      <c r="AF40" s="6" t="s">
        <v>48</v>
      </c>
      <c r="AG40" s="3" t="s">
        <v>55</v>
      </c>
      <c r="AH40" s="4" t="s">
        <v>6</v>
      </c>
      <c r="AI40" s="4" t="s">
        <v>5</v>
      </c>
      <c r="AJ40" s="19" t="s">
        <v>4</v>
      </c>
      <c r="AK40" s="19" t="s">
        <v>3</v>
      </c>
      <c r="AL40" s="19" t="s">
        <v>2</v>
      </c>
      <c r="AM40" s="4" t="s">
        <v>1</v>
      </c>
      <c r="AN40" s="6" t="s">
        <v>48</v>
      </c>
      <c r="AO40" s="2" t="s">
        <v>50</v>
      </c>
    </row>
    <row r="41" spans="1:41" x14ac:dyDescent="0.2">
      <c r="A41" s="32" t="s">
        <v>56</v>
      </c>
      <c r="B41" s="29">
        <f>IF(ABS(B31-B$36) &lt;= 3*B$37,B31,"")</f>
        <v>4096</v>
      </c>
      <c r="C41" s="29">
        <f t="shared" ref="C41:AN41" si="2">IF(ABS(C31-C$36) &lt;= 3*C$37,C31,"")</f>
        <v>21.59</v>
      </c>
      <c r="D41" s="30">
        <f t="shared" si="2"/>
        <v>0.8831</v>
      </c>
      <c r="E41" s="30">
        <f t="shared" si="2"/>
        <v>1.3599999999999999E-2</v>
      </c>
      <c r="F41" s="30">
        <f t="shared" si="2"/>
        <v>0.1033</v>
      </c>
      <c r="G41" s="29">
        <f t="shared" si="2"/>
        <v>7694345.5580000002</v>
      </c>
      <c r="H41" s="31">
        <f t="shared" si="2"/>
        <v>65</v>
      </c>
      <c r="I41" s="28" t="s">
        <v>57</v>
      </c>
      <c r="J41" s="29">
        <f t="shared" si="2"/>
        <v>4096</v>
      </c>
      <c r="K41" s="29">
        <f t="shared" si="2"/>
        <v>20.76</v>
      </c>
      <c r="L41" s="30">
        <f t="shared" si="2"/>
        <v>0.88300000000000001</v>
      </c>
      <c r="M41" s="30">
        <f t="shared" si="2"/>
        <v>1.0699999999999999E-2</v>
      </c>
      <c r="N41" s="30">
        <f t="shared" si="2"/>
        <v>0.10630000000000001</v>
      </c>
      <c r="O41" s="29">
        <f t="shared" si="2"/>
        <v>8027219.0319999997</v>
      </c>
      <c r="P41" s="31">
        <f t="shared" si="2"/>
        <v>40</v>
      </c>
      <c r="Q41" s="28" t="s">
        <v>58</v>
      </c>
      <c r="R41" s="29">
        <f t="shared" si="2"/>
        <v>2048</v>
      </c>
      <c r="S41" s="29">
        <f t="shared" si="2"/>
        <v>10.77</v>
      </c>
      <c r="T41" s="30">
        <f t="shared" si="2"/>
        <v>0.88480000000000003</v>
      </c>
      <c r="U41" s="30">
        <f t="shared" si="2"/>
        <v>1.23E-2</v>
      </c>
      <c r="V41" s="30">
        <f t="shared" si="2"/>
        <v>0.1028</v>
      </c>
      <c r="W41" s="29">
        <f t="shared" si="2"/>
        <v>7704197.1859999998</v>
      </c>
      <c r="X41" s="31">
        <f t="shared" si="2"/>
        <v>21</v>
      </c>
      <c r="Y41" s="28" t="s">
        <v>59</v>
      </c>
      <c r="Z41" s="29">
        <f t="shared" si="2"/>
        <v>2048</v>
      </c>
      <c r="AA41" s="29">
        <f t="shared" si="2"/>
        <v>10.64</v>
      </c>
      <c r="AB41" s="30">
        <f t="shared" si="2"/>
        <v>0.87970000000000004</v>
      </c>
      <c r="AC41" s="30">
        <f t="shared" si="2"/>
        <v>1.5299999999999999E-2</v>
      </c>
      <c r="AD41" s="30">
        <f t="shared" si="2"/>
        <v>0.10489999999999999</v>
      </c>
      <c r="AE41" s="29">
        <f t="shared" si="2"/>
        <v>7818068.4100000001</v>
      </c>
      <c r="AF41" s="31">
        <f t="shared" si="2"/>
        <v>41</v>
      </c>
      <c r="AG41" s="28" t="s">
        <v>60</v>
      </c>
      <c r="AH41" s="29">
        <f t="shared" si="2"/>
        <v>0</v>
      </c>
      <c r="AI41" s="29">
        <f t="shared" si="2"/>
        <v>0</v>
      </c>
      <c r="AJ41" s="30">
        <f t="shared" si="2"/>
        <v>0</v>
      </c>
      <c r="AK41" s="30">
        <f t="shared" si="2"/>
        <v>0</v>
      </c>
      <c r="AL41" s="30">
        <f t="shared" si="2"/>
        <v>0</v>
      </c>
      <c r="AM41" s="29">
        <f t="shared" si="2"/>
        <v>0</v>
      </c>
      <c r="AN41" s="31">
        <f t="shared" si="2"/>
        <v>600</v>
      </c>
    </row>
    <row r="42" spans="1:41" x14ac:dyDescent="0.2">
      <c r="A42" s="7"/>
      <c r="B42">
        <f>IF(ABS(B32-B$36) &lt;= 3*B$37,B32,"")</f>
        <v>2048</v>
      </c>
      <c r="C42">
        <f t="shared" ref="C42:AN45" si="3">IF(ABS(C32-C$36) &lt;= 3*C$37,C32,"")</f>
        <v>10.96</v>
      </c>
      <c r="D42" s="2">
        <f t="shared" si="3"/>
        <v>0.88280000000000003</v>
      </c>
      <c r="E42" s="2">
        <f t="shared" si="3"/>
        <v>1.23E-2</v>
      </c>
      <c r="F42" s="2">
        <f t="shared" si="3"/>
        <v>0.1048</v>
      </c>
      <c r="G42">
        <f t="shared" si="3"/>
        <v>7590663.3099999996</v>
      </c>
      <c r="H42" s="8">
        <f t="shared" si="3"/>
        <v>27</v>
      </c>
      <c r="I42" s="9"/>
      <c r="J42">
        <f t="shared" si="3"/>
        <v>2048</v>
      </c>
      <c r="K42">
        <f t="shared" si="3"/>
        <v>10.76</v>
      </c>
      <c r="L42" s="2">
        <f t="shared" si="3"/>
        <v>0.88219999999999998</v>
      </c>
      <c r="M42" s="2">
        <f t="shared" si="3"/>
        <v>1.21E-2</v>
      </c>
      <c r="N42" s="2">
        <f t="shared" si="3"/>
        <v>0.10580000000000001</v>
      </c>
      <c r="O42">
        <f t="shared" si="3"/>
        <v>7735744.2709999997</v>
      </c>
      <c r="P42" s="8">
        <f t="shared" si="3"/>
        <v>21</v>
      </c>
      <c r="Q42" s="9"/>
      <c r="R42">
        <f t="shared" si="3"/>
        <v>2048</v>
      </c>
      <c r="S42">
        <f t="shared" si="3"/>
        <v>10.59</v>
      </c>
      <c r="T42" s="2">
        <f t="shared" si="3"/>
        <v>0.8831</v>
      </c>
      <c r="U42" s="2">
        <f t="shared" si="3"/>
        <v>1.14E-2</v>
      </c>
      <c r="V42" s="2">
        <f t="shared" si="3"/>
        <v>0.1055</v>
      </c>
      <c r="W42">
        <f t="shared" si="3"/>
        <v>7862200.9939999999</v>
      </c>
      <c r="X42" s="8">
        <f t="shared" si="3"/>
        <v>21</v>
      </c>
      <c r="Y42" s="9"/>
      <c r="Z42">
        <f t="shared" si="3"/>
        <v>2048</v>
      </c>
      <c r="AA42">
        <f t="shared" si="3"/>
        <v>10.68</v>
      </c>
      <c r="AB42" s="2">
        <f t="shared" si="3"/>
        <v>0.87829999999999997</v>
      </c>
      <c r="AC42" s="2">
        <f t="shared" si="3"/>
        <v>1.5599999999999999E-2</v>
      </c>
      <c r="AD42" s="2">
        <f t="shared" si="3"/>
        <v>0.1061</v>
      </c>
      <c r="AE42">
        <f t="shared" si="3"/>
        <v>7799282.5290000001</v>
      </c>
      <c r="AF42" s="8">
        <f t="shared" si="3"/>
        <v>35</v>
      </c>
      <c r="AG42" s="9"/>
      <c r="AH42">
        <f t="shared" si="3"/>
        <v>0</v>
      </c>
      <c r="AI42">
        <f t="shared" si="3"/>
        <v>0</v>
      </c>
      <c r="AJ42" s="2">
        <f t="shared" si="3"/>
        <v>0</v>
      </c>
      <c r="AK42" s="2">
        <f t="shared" si="3"/>
        <v>0</v>
      </c>
      <c r="AL42" s="2">
        <f t="shared" si="3"/>
        <v>0</v>
      </c>
      <c r="AM42">
        <f t="shared" si="3"/>
        <v>0</v>
      </c>
      <c r="AN42" s="8">
        <f t="shared" si="3"/>
        <v>600</v>
      </c>
    </row>
    <row r="43" spans="1:41" x14ac:dyDescent="0.2">
      <c r="A43" s="7"/>
      <c r="B43">
        <f t="shared" ref="B43:P45" si="4">IF(ABS(B33-B$36) &lt;= 3*B$37,B33,"")</f>
        <v>2048</v>
      </c>
      <c r="C43">
        <f t="shared" si="4"/>
        <v>11.01</v>
      </c>
      <c r="D43" s="2">
        <f t="shared" si="4"/>
        <v>0.88200000000000001</v>
      </c>
      <c r="E43" s="2">
        <f t="shared" si="4"/>
        <v>1.21E-2</v>
      </c>
      <c r="F43" s="2">
        <f t="shared" si="4"/>
        <v>0.10589999999999999</v>
      </c>
      <c r="G43">
        <f t="shared" si="4"/>
        <v>7564105.2079999996</v>
      </c>
      <c r="H43" s="8">
        <f t="shared" si="4"/>
        <v>30</v>
      </c>
      <c r="I43" s="9"/>
      <c r="J43">
        <f t="shared" si="4"/>
        <v>2048</v>
      </c>
      <c r="K43">
        <f t="shared" si="4"/>
        <v>10.77</v>
      </c>
      <c r="L43" s="2">
        <f t="shared" si="4"/>
        <v>0.88180000000000003</v>
      </c>
      <c r="M43" s="2">
        <f t="shared" si="4"/>
        <v>1.17E-2</v>
      </c>
      <c r="N43" s="2">
        <f t="shared" si="4"/>
        <v>0.10639999999999999</v>
      </c>
      <c r="O43">
        <f t="shared" si="4"/>
        <v>7734251.4340000004</v>
      </c>
      <c r="P43" s="8">
        <f t="shared" si="4"/>
        <v>21</v>
      </c>
      <c r="Q43" s="9"/>
      <c r="R43">
        <f t="shared" si="3"/>
        <v>2048</v>
      </c>
      <c r="S43">
        <f t="shared" si="3"/>
        <v>10.61</v>
      </c>
      <c r="T43" s="2">
        <f t="shared" si="3"/>
        <v>0.88129999999999997</v>
      </c>
      <c r="U43" s="2">
        <f t="shared" si="3"/>
        <v>1.1900000000000001E-2</v>
      </c>
      <c r="V43" s="2">
        <f t="shared" si="3"/>
        <v>0.1069</v>
      </c>
      <c r="W43">
        <f t="shared" si="3"/>
        <v>7857549.3339999998</v>
      </c>
      <c r="X43" s="8">
        <f t="shared" si="3"/>
        <v>21</v>
      </c>
      <c r="Y43" s="9"/>
      <c r="Z43">
        <f t="shared" si="3"/>
        <v>2048</v>
      </c>
      <c r="AA43">
        <f t="shared" si="3"/>
        <v>11.12</v>
      </c>
      <c r="AB43" s="2">
        <f t="shared" si="3"/>
        <v>0.88139999999999996</v>
      </c>
      <c r="AC43" s="2">
        <f t="shared" si="3"/>
        <v>1.3100000000000001E-2</v>
      </c>
      <c r="AD43" s="2">
        <f t="shared" si="3"/>
        <v>0.1055</v>
      </c>
      <c r="AE43">
        <f t="shared" si="3"/>
        <v>7483546.1090000002</v>
      </c>
      <c r="AF43" s="8">
        <f t="shared" si="3"/>
        <v>38</v>
      </c>
      <c r="AG43" s="9"/>
      <c r="AH43">
        <f t="shared" si="3"/>
        <v>0</v>
      </c>
      <c r="AI43">
        <f t="shared" si="3"/>
        <v>0</v>
      </c>
      <c r="AJ43" s="2">
        <f t="shared" si="3"/>
        <v>0</v>
      </c>
      <c r="AK43" s="2">
        <f t="shared" si="3"/>
        <v>0</v>
      </c>
      <c r="AL43" s="2">
        <f t="shared" si="3"/>
        <v>0</v>
      </c>
      <c r="AM43">
        <f t="shared" si="3"/>
        <v>0</v>
      </c>
      <c r="AN43" s="8">
        <f t="shared" si="3"/>
        <v>600</v>
      </c>
    </row>
    <row r="44" spans="1:41" x14ac:dyDescent="0.2">
      <c r="A44" s="9"/>
      <c r="B44">
        <f t="shared" si="4"/>
        <v>2048</v>
      </c>
      <c r="C44">
        <f t="shared" si="3"/>
        <v>11.23</v>
      </c>
      <c r="D44" s="2">
        <f t="shared" si="3"/>
        <v>0.88109999999999999</v>
      </c>
      <c r="E44" s="2">
        <f t="shared" si="3"/>
        <v>1.44E-2</v>
      </c>
      <c r="F44" s="2">
        <f t="shared" si="3"/>
        <v>0.1045</v>
      </c>
      <c r="G44">
        <f t="shared" si="3"/>
        <v>7402141.7970000003</v>
      </c>
      <c r="H44" s="8">
        <f t="shared" si="3"/>
        <v>36</v>
      </c>
      <c r="I44" s="9"/>
      <c r="J44">
        <f t="shared" si="3"/>
        <v>2048</v>
      </c>
      <c r="K44">
        <f t="shared" si="3"/>
        <v>10.73</v>
      </c>
      <c r="L44" s="2">
        <f t="shared" si="3"/>
        <v>0.88239999999999996</v>
      </c>
      <c r="M44" s="2">
        <f t="shared" si="3"/>
        <v>1.15E-2</v>
      </c>
      <c r="N44" s="2">
        <f t="shared" si="3"/>
        <v>0.1061</v>
      </c>
      <c r="O44">
        <f t="shared" si="3"/>
        <v>7765954.9280000003</v>
      </c>
      <c r="P44" s="8">
        <f t="shared" si="3"/>
        <v>21</v>
      </c>
      <c r="Q44" s="9"/>
      <c r="R44">
        <f t="shared" si="3"/>
        <v>2048</v>
      </c>
      <c r="S44">
        <f t="shared" si="3"/>
        <v>11.1</v>
      </c>
      <c r="T44" s="2">
        <f t="shared" si="3"/>
        <v>0.88260000000000005</v>
      </c>
      <c r="U44" s="2">
        <f t="shared" si="3"/>
        <v>1.2699999999999999E-2</v>
      </c>
      <c r="V44" s="2">
        <f t="shared" si="3"/>
        <v>0.1047</v>
      </c>
      <c r="W44">
        <f t="shared" si="3"/>
        <v>7494120.159</v>
      </c>
      <c r="X44" s="8">
        <f t="shared" si="3"/>
        <v>22</v>
      </c>
      <c r="Y44" s="9"/>
      <c r="Z44">
        <f t="shared" si="3"/>
        <v>2048</v>
      </c>
      <c r="AA44">
        <f t="shared" si="3"/>
        <v>10.94</v>
      </c>
      <c r="AB44" s="2">
        <f t="shared" si="3"/>
        <v>0.88060000000000005</v>
      </c>
      <c r="AC44" s="2">
        <f t="shared" si="3"/>
        <v>1.41E-2</v>
      </c>
      <c r="AD44" s="2">
        <f t="shared" si="3"/>
        <v>0.1053</v>
      </c>
      <c r="AE44">
        <f t="shared" si="3"/>
        <v>7607594.4689999996</v>
      </c>
      <c r="AF44" s="8">
        <f t="shared" si="3"/>
        <v>40</v>
      </c>
      <c r="AG44" s="9"/>
      <c r="AH44">
        <f t="shared" si="3"/>
        <v>0</v>
      </c>
      <c r="AI44">
        <f t="shared" si="3"/>
        <v>0</v>
      </c>
      <c r="AJ44" s="2">
        <f t="shared" si="3"/>
        <v>0</v>
      </c>
      <c r="AK44" s="2">
        <f t="shared" si="3"/>
        <v>0</v>
      </c>
      <c r="AL44" s="2">
        <f t="shared" si="3"/>
        <v>0</v>
      </c>
      <c r="AM44">
        <f t="shared" si="3"/>
        <v>0</v>
      </c>
      <c r="AN44" s="8">
        <f t="shared" si="3"/>
        <v>600</v>
      </c>
    </row>
    <row r="45" spans="1:41" ht="17" thickBot="1" x14ac:dyDescent="0.25">
      <c r="A45" s="10"/>
      <c r="B45" s="11">
        <f t="shared" si="4"/>
        <v>2048</v>
      </c>
      <c r="C45" s="11">
        <f t="shared" si="3"/>
        <v>11.22</v>
      </c>
      <c r="D45" s="12">
        <f t="shared" si="3"/>
        <v>0.88080000000000003</v>
      </c>
      <c r="E45" s="12">
        <f t="shared" si="3"/>
        <v>1.44E-2</v>
      </c>
      <c r="F45" s="12">
        <f t="shared" si="3"/>
        <v>0.1048</v>
      </c>
      <c r="G45" s="11">
        <f t="shared" si="3"/>
        <v>7412160.7750000004</v>
      </c>
      <c r="H45" s="13">
        <f t="shared" si="3"/>
        <v>38</v>
      </c>
      <c r="I45" s="10"/>
      <c r="J45" s="11">
        <f t="shared" si="3"/>
        <v>2048</v>
      </c>
      <c r="K45" s="11">
        <f t="shared" si="3"/>
        <v>10.93</v>
      </c>
      <c r="L45" s="12">
        <f t="shared" si="3"/>
        <v>0.88329999999999997</v>
      </c>
      <c r="M45" s="12">
        <f t="shared" si="3"/>
        <v>1.1599999999999999E-2</v>
      </c>
      <c r="N45" s="12">
        <f t="shared" si="3"/>
        <v>0.1051</v>
      </c>
      <c r="O45" s="11">
        <f t="shared" si="3"/>
        <v>7609922.1610000003</v>
      </c>
      <c r="P45" s="13">
        <f t="shared" si="3"/>
        <v>22</v>
      </c>
      <c r="Q45" s="10"/>
      <c r="R45" s="11">
        <f t="shared" si="3"/>
        <v>2048</v>
      </c>
      <c r="S45" s="11">
        <f t="shared" si="3"/>
        <v>10.86</v>
      </c>
      <c r="T45" s="12">
        <f t="shared" si="3"/>
        <v>0.88280000000000003</v>
      </c>
      <c r="U45" s="12">
        <f t="shared" si="3"/>
        <v>1.15E-2</v>
      </c>
      <c r="V45" s="12">
        <f t="shared" si="3"/>
        <v>0.1057</v>
      </c>
      <c r="W45" s="11">
        <f t="shared" si="3"/>
        <v>7666593.7400000002</v>
      </c>
      <c r="X45" s="13">
        <f t="shared" si="3"/>
        <v>21</v>
      </c>
      <c r="Y45" s="10"/>
      <c r="Z45" s="11">
        <f t="shared" si="3"/>
        <v>2048</v>
      </c>
      <c r="AA45" s="11">
        <f t="shared" si="3"/>
        <v>10.82</v>
      </c>
      <c r="AB45" s="12">
        <f t="shared" si="3"/>
        <v>0.88219999999999998</v>
      </c>
      <c r="AC45" s="12">
        <f t="shared" si="3"/>
        <v>1.18E-2</v>
      </c>
      <c r="AD45" s="12">
        <f t="shared" si="3"/>
        <v>0.106</v>
      </c>
      <c r="AE45" s="11">
        <f t="shared" si="3"/>
        <v>7700945.6830000002</v>
      </c>
      <c r="AF45" s="13">
        <f t="shared" si="3"/>
        <v>28</v>
      </c>
      <c r="AG45" s="10"/>
      <c r="AH45" s="11">
        <f t="shared" si="3"/>
        <v>0</v>
      </c>
      <c r="AI45" s="11">
        <f t="shared" si="3"/>
        <v>0</v>
      </c>
      <c r="AJ45" s="12">
        <f t="shared" si="3"/>
        <v>0</v>
      </c>
      <c r="AK45" s="12">
        <f t="shared" si="3"/>
        <v>0</v>
      </c>
      <c r="AL45" s="12">
        <f t="shared" si="3"/>
        <v>0</v>
      </c>
      <c r="AM45" s="11">
        <f t="shared" si="3"/>
        <v>0</v>
      </c>
      <c r="AN45" s="13">
        <f t="shared" si="3"/>
        <v>601</v>
      </c>
    </row>
    <row r="46" spans="1:41" x14ac:dyDescent="0.2">
      <c r="A46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92A8-9C5E-1A42-AE58-97460AE78F22}">
  <dimension ref="A1:AO50"/>
  <sheetViews>
    <sheetView topLeftCell="A3" workbookViewId="0">
      <selection activeCell="AL47" sqref="AL47:AO50"/>
    </sheetView>
  </sheetViews>
  <sheetFormatPr baseColWidth="10" defaultRowHeight="16" x14ac:dyDescent="0.2"/>
  <cols>
    <col min="4" max="6" width="10.83203125" style="2"/>
    <col min="8" max="8" width="13.5" customWidth="1"/>
    <col min="12" max="14" width="10.83203125" style="2"/>
    <col min="16" max="16" width="13.1640625" customWidth="1"/>
    <col min="20" max="22" width="10.83203125" style="2"/>
    <col min="24" max="24" width="14.33203125" customWidth="1"/>
    <col min="28" max="30" width="10.83203125" style="2"/>
    <col min="32" max="32" width="13.1640625" customWidth="1"/>
    <col min="36" max="38" width="10.83203125" style="2"/>
    <col min="40" max="40" width="13.33203125" customWidth="1"/>
  </cols>
  <sheetData>
    <row r="1" spans="1:41" ht="17" thickBot="1" x14ac:dyDescent="0.25">
      <c r="A1" s="3" t="s">
        <v>62</v>
      </c>
      <c r="B1" s="4" t="s">
        <v>6</v>
      </c>
      <c r="C1" s="4" t="s">
        <v>5</v>
      </c>
      <c r="D1" s="19" t="s">
        <v>4</v>
      </c>
      <c r="E1" s="19" t="s">
        <v>3</v>
      </c>
      <c r="F1" s="19" t="s">
        <v>2</v>
      </c>
      <c r="G1" s="4" t="s">
        <v>1</v>
      </c>
      <c r="H1" s="6" t="s">
        <v>42</v>
      </c>
      <c r="I1" s="3" t="s">
        <v>62</v>
      </c>
      <c r="J1" s="4" t="s">
        <v>6</v>
      </c>
      <c r="K1" s="4" t="s">
        <v>5</v>
      </c>
      <c r="L1" s="19" t="s">
        <v>4</v>
      </c>
      <c r="M1" s="19" t="s">
        <v>3</v>
      </c>
      <c r="N1" s="19" t="s">
        <v>2</v>
      </c>
      <c r="O1" s="4" t="s">
        <v>1</v>
      </c>
      <c r="P1" s="6" t="s">
        <v>42</v>
      </c>
      <c r="Q1" s="3" t="s">
        <v>62</v>
      </c>
      <c r="R1" s="4" t="s">
        <v>6</v>
      </c>
      <c r="S1" s="4" t="s">
        <v>5</v>
      </c>
      <c r="T1" s="19" t="s">
        <v>4</v>
      </c>
      <c r="U1" s="19" t="s">
        <v>3</v>
      </c>
      <c r="V1" s="19" t="s">
        <v>2</v>
      </c>
      <c r="W1" s="4" t="s">
        <v>1</v>
      </c>
      <c r="X1" s="6" t="s">
        <v>42</v>
      </c>
      <c r="Y1" s="27" t="s">
        <v>62</v>
      </c>
      <c r="Z1" s="25" t="s">
        <v>6</v>
      </c>
      <c r="AA1" s="25" t="s">
        <v>5</v>
      </c>
      <c r="AB1" s="33" t="s">
        <v>4</v>
      </c>
      <c r="AC1" s="33" t="s">
        <v>3</v>
      </c>
      <c r="AD1" s="33" t="s">
        <v>2</v>
      </c>
      <c r="AE1" s="25" t="s">
        <v>1</v>
      </c>
      <c r="AF1" s="26" t="s">
        <v>42</v>
      </c>
      <c r="AG1" s="27" t="s">
        <v>62</v>
      </c>
      <c r="AH1" s="25" t="s">
        <v>6</v>
      </c>
      <c r="AI1" s="25" t="s">
        <v>5</v>
      </c>
      <c r="AJ1" s="33" t="s">
        <v>4</v>
      </c>
      <c r="AK1" s="33" t="s">
        <v>3</v>
      </c>
      <c r="AL1" s="33" t="s">
        <v>2</v>
      </c>
      <c r="AM1" s="25" t="s">
        <v>1</v>
      </c>
      <c r="AN1" s="26" t="s">
        <v>42</v>
      </c>
      <c r="AO1" s="24" t="s">
        <v>45</v>
      </c>
    </row>
    <row r="2" spans="1:41" x14ac:dyDescent="0.2">
      <c r="A2" s="9" t="s">
        <v>38</v>
      </c>
      <c r="B2">
        <v>128</v>
      </c>
      <c r="C2">
        <v>0.57999999999999996</v>
      </c>
      <c r="D2" s="2">
        <v>0.88170000000000004</v>
      </c>
      <c r="E2" s="2">
        <v>1.2E-2</v>
      </c>
      <c r="F2" s="2">
        <v>0.10630000000000001</v>
      </c>
      <c r="G2">
        <v>9006478.9800000004</v>
      </c>
      <c r="H2" s="8"/>
      <c r="I2" s="9" t="s">
        <v>63</v>
      </c>
      <c r="J2">
        <v>128</v>
      </c>
      <c r="K2">
        <v>0.59</v>
      </c>
      <c r="L2" s="2">
        <v>0.88390000000000002</v>
      </c>
      <c r="M2" s="2">
        <v>1.12E-2</v>
      </c>
      <c r="N2" s="2">
        <v>0.10489999999999999</v>
      </c>
      <c r="O2">
        <v>8839255.1909999996</v>
      </c>
      <c r="P2" s="8"/>
      <c r="Q2" s="9" t="s">
        <v>64</v>
      </c>
      <c r="R2">
        <v>128</v>
      </c>
      <c r="S2">
        <v>0.57999999999999996</v>
      </c>
      <c r="T2" s="2">
        <v>0.88219999999999998</v>
      </c>
      <c r="U2" s="2">
        <v>1.14E-2</v>
      </c>
      <c r="V2" s="2">
        <v>0.10639999999999999</v>
      </c>
      <c r="W2">
        <v>8952305.8430000003</v>
      </c>
      <c r="X2" s="8"/>
      <c r="Y2" s="9" t="s">
        <v>65</v>
      </c>
      <c r="Z2">
        <v>128</v>
      </c>
      <c r="AA2">
        <v>0.59</v>
      </c>
      <c r="AB2" s="2">
        <v>0.88339999999999996</v>
      </c>
      <c r="AC2" s="2">
        <v>1.15E-2</v>
      </c>
      <c r="AD2" s="2">
        <v>0.1051</v>
      </c>
      <c r="AE2">
        <v>8819205.6030000001</v>
      </c>
      <c r="AF2" s="8"/>
      <c r="AG2" s="9" t="s">
        <v>66</v>
      </c>
      <c r="AH2">
        <v>128</v>
      </c>
      <c r="AI2">
        <v>0.57999999999999996</v>
      </c>
      <c r="AJ2" s="2">
        <v>0.8831</v>
      </c>
      <c r="AK2" s="2">
        <v>1.09E-2</v>
      </c>
      <c r="AL2" s="2">
        <v>0.106</v>
      </c>
      <c r="AM2">
        <v>8955751.1909999996</v>
      </c>
      <c r="AN2" s="8"/>
    </row>
    <row r="3" spans="1:41" x14ac:dyDescent="0.2">
      <c r="A3" s="9"/>
      <c r="B3">
        <v>256</v>
      </c>
      <c r="C3">
        <v>1.1599999999999999</v>
      </c>
      <c r="D3" s="2">
        <v>0.88329999999999997</v>
      </c>
      <c r="E3" s="2">
        <v>1.0999999999999999E-2</v>
      </c>
      <c r="F3" s="2">
        <v>0.1057</v>
      </c>
      <c r="G3">
        <v>8950799.3359999992</v>
      </c>
      <c r="H3" s="8"/>
      <c r="I3" s="9"/>
      <c r="J3">
        <v>256</v>
      </c>
      <c r="K3">
        <v>1.18</v>
      </c>
      <c r="L3" s="2">
        <v>0.88449999999999995</v>
      </c>
      <c r="M3" s="2">
        <v>1.0699999999999999E-2</v>
      </c>
      <c r="N3" s="2">
        <v>0.1047</v>
      </c>
      <c r="O3">
        <v>8791800.0020000003</v>
      </c>
      <c r="P3" s="8"/>
      <c r="Q3" s="9"/>
      <c r="R3">
        <v>256</v>
      </c>
      <c r="S3">
        <v>1.2</v>
      </c>
      <c r="T3" s="2">
        <v>0.88219999999999998</v>
      </c>
      <c r="U3" s="2">
        <v>1.23E-2</v>
      </c>
      <c r="V3" s="2">
        <v>0.1055</v>
      </c>
      <c r="W3">
        <v>8704437.6160000004</v>
      </c>
      <c r="X3" s="8"/>
      <c r="Y3" s="9"/>
      <c r="Z3">
        <v>256</v>
      </c>
      <c r="AA3">
        <v>1.18</v>
      </c>
      <c r="AB3" s="2">
        <v>0.88149999999999995</v>
      </c>
      <c r="AC3" s="2">
        <v>1.3299999999999999E-2</v>
      </c>
      <c r="AD3" s="2">
        <v>0.1051</v>
      </c>
      <c r="AE3">
        <v>8787085.8110000007</v>
      </c>
      <c r="AF3" s="8"/>
      <c r="AG3" s="9"/>
      <c r="AH3">
        <v>256</v>
      </c>
      <c r="AI3">
        <v>1.17</v>
      </c>
      <c r="AJ3" s="2">
        <v>0.88239999999999996</v>
      </c>
      <c r="AK3" s="2">
        <v>1.15E-2</v>
      </c>
      <c r="AL3" s="2">
        <v>0.106</v>
      </c>
      <c r="AM3">
        <v>8914103.1559999995</v>
      </c>
      <c r="AN3" s="8"/>
    </row>
    <row r="4" spans="1:41" x14ac:dyDescent="0.2">
      <c r="A4" s="9"/>
      <c r="B4">
        <v>512</v>
      </c>
      <c r="C4">
        <v>2.33</v>
      </c>
      <c r="D4" s="2">
        <v>0.88180000000000003</v>
      </c>
      <c r="E4" s="2">
        <v>1.17E-2</v>
      </c>
      <c r="F4" s="2">
        <v>0.1065</v>
      </c>
      <c r="G4">
        <v>8936868.8469999991</v>
      </c>
      <c r="H4" s="8"/>
      <c r="I4" s="9"/>
      <c r="J4">
        <v>512</v>
      </c>
      <c r="K4">
        <v>2.37</v>
      </c>
      <c r="L4" s="2">
        <v>0.88449999999999995</v>
      </c>
      <c r="M4" s="2">
        <v>1.09E-2</v>
      </c>
      <c r="N4" s="2">
        <v>0.1046</v>
      </c>
      <c r="O4">
        <v>8756685.8190000001</v>
      </c>
      <c r="P4" s="8"/>
      <c r="Q4" s="9"/>
      <c r="R4">
        <v>512</v>
      </c>
      <c r="S4">
        <v>2.4</v>
      </c>
      <c r="T4" s="2">
        <v>0.88249999999999995</v>
      </c>
      <c r="U4" s="2">
        <v>1.21E-2</v>
      </c>
      <c r="V4" s="2">
        <v>0.10539999999999999</v>
      </c>
      <c r="W4">
        <v>8675725.6290000007</v>
      </c>
      <c r="X4" s="8"/>
      <c r="Y4" s="9"/>
      <c r="Z4">
        <v>512</v>
      </c>
      <c r="AA4">
        <v>2.44</v>
      </c>
      <c r="AB4" s="2">
        <v>0.88029999999999997</v>
      </c>
      <c r="AC4" s="2">
        <v>1.43E-2</v>
      </c>
      <c r="AD4" s="2">
        <v>0.10539999999999999</v>
      </c>
      <c r="AE4">
        <v>8530271.7259999998</v>
      </c>
      <c r="AF4" s="8"/>
      <c r="AG4" s="9"/>
      <c r="AH4">
        <v>512</v>
      </c>
      <c r="AI4">
        <v>2.37</v>
      </c>
      <c r="AJ4" s="2">
        <v>0.88090000000000002</v>
      </c>
      <c r="AK4" s="2">
        <v>1.2E-2</v>
      </c>
      <c r="AL4" s="2">
        <v>0.1072</v>
      </c>
      <c r="AM4">
        <v>8783221.9570000004</v>
      </c>
      <c r="AN4" s="8"/>
    </row>
    <row r="5" spans="1:41" x14ac:dyDescent="0.2">
      <c r="A5" s="9"/>
      <c r="B5">
        <v>1024</v>
      </c>
      <c r="C5">
        <v>4.76</v>
      </c>
      <c r="D5" s="2">
        <v>0.8831</v>
      </c>
      <c r="E5" s="2">
        <v>1.1599999999999999E-2</v>
      </c>
      <c r="F5" s="2">
        <v>0.1053</v>
      </c>
      <c r="G5">
        <v>8742285.0050000008</v>
      </c>
      <c r="H5" s="8"/>
      <c r="I5" s="9"/>
      <c r="J5">
        <v>1024</v>
      </c>
      <c r="K5">
        <v>4.9400000000000004</v>
      </c>
      <c r="L5" s="2">
        <v>0.88439999999999996</v>
      </c>
      <c r="M5" s="2">
        <v>1.0800000000000001E-2</v>
      </c>
      <c r="N5" s="2">
        <v>0.10489999999999999</v>
      </c>
      <c r="O5">
        <v>8424937.9489999991</v>
      </c>
      <c r="P5" s="8"/>
      <c r="Q5" s="9"/>
      <c r="R5">
        <v>1024</v>
      </c>
      <c r="S5">
        <v>4.97</v>
      </c>
      <c r="T5" s="2">
        <v>0.88200000000000001</v>
      </c>
      <c r="U5" s="2">
        <v>1.2E-2</v>
      </c>
      <c r="V5" s="2">
        <v>0.106</v>
      </c>
      <c r="W5">
        <v>8378662.5920000002</v>
      </c>
      <c r="X5" s="8"/>
      <c r="Y5" s="9"/>
      <c r="Z5">
        <v>1024</v>
      </c>
      <c r="AA5">
        <v>5.0999999999999996</v>
      </c>
      <c r="AB5" s="2">
        <v>0.88200000000000001</v>
      </c>
      <c r="AC5" s="2">
        <v>1.32E-2</v>
      </c>
      <c r="AD5" s="2">
        <v>0.1048</v>
      </c>
      <c r="AE5">
        <v>8162541.2180000003</v>
      </c>
      <c r="AF5" s="8"/>
      <c r="AG5" s="9"/>
      <c r="AH5">
        <v>1024</v>
      </c>
      <c r="AI5">
        <v>4.99</v>
      </c>
      <c r="AJ5" s="2">
        <v>0.88160000000000005</v>
      </c>
      <c r="AK5" s="2">
        <v>1.29E-2</v>
      </c>
      <c r="AL5" s="2">
        <v>0.1055</v>
      </c>
      <c r="AM5">
        <v>8343731.0710000005</v>
      </c>
      <c r="AN5" s="8"/>
    </row>
    <row r="6" spans="1:41" x14ac:dyDescent="0.2">
      <c r="A6" s="9"/>
      <c r="B6">
        <v>2048</v>
      </c>
      <c r="C6">
        <v>9.83</v>
      </c>
      <c r="D6" s="2">
        <v>0.88180000000000003</v>
      </c>
      <c r="E6" s="2">
        <v>1.2200000000000001E-2</v>
      </c>
      <c r="F6" s="2">
        <v>0.106</v>
      </c>
      <c r="G6">
        <v>8470896.5820000004</v>
      </c>
      <c r="H6" s="8"/>
      <c r="I6" s="9"/>
      <c r="J6">
        <v>2048</v>
      </c>
      <c r="K6">
        <v>10.19</v>
      </c>
      <c r="L6" s="2">
        <v>0.88380000000000003</v>
      </c>
      <c r="M6" s="2">
        <v>1.09E-2</v>
      </c>
      <c r="N6" s="2">
        <v>0.10539999999999999</v>
      </c>
      <c r="O6">
        <v>8164258.5860000001</v>
      </c>
      <c r="P6" s="8" t="s">
        <v>39</v>
      </c>
      <c r="Q6" s="9"/>
      <c r="R6">
        <v>2048</v>
      </c>
      <c r="S6">
        <v>10.39</v>
      </c>
      <c r="T6" s="2">
        <v>0.88219999999999998</v>
      </c>
      <c r="U6" s="2">
        <v>1.2E-2</v>
      </c>
      <c r="V6" s="2">
        <v>0.10580000000000001</v>
      </c>
      <c r="W6">
        <v>8012912.7230000002</v>
      </c>
      <c r="X6" s="8" t="s">
        <v>9</v>
      </c>
      <c r="Y6" s="9"/>
      <c r="Z6">
        <v>2048</v>
      </c>
      <c r="AA6">
        <v>10.52</v>
      </c>
      <c r="AB6" s="2">
        <v>0.88329999999999997</v>
      </c>
      <c r="AC6" s="2">
        <v>1.15E-2</v>
      </c>
      <c r="AD6" s="2">
        <v>0.1052</v>
      </c>
      <c r="AE6">
        <v>7909261.7300000004</v>
      </c>
      <c r="AF6" s="8" t="s">
        <v>23</v>
      </c>
      <c r="AG6" s="9"/>
      <c r="AH6">
        <v>2048</v>
      </c>
      <c r="AI6">
        <v>10.47</v>
      </c>
      <c r="AJ6" s="2">
        <v>0.88100000000000001</v>
      </c>
      <c r="AK6" s="2">
        <v>1.2800000000000001E-2</v>
      </c>
      <c r="AL6" s="2">
        <v>0.10630000000000001</v>
      </c>
      <c r="AM6">
        <v>7954647.835</v>
      </c>
      <c r="AN6" s="8" t="s">
        <v>29</v>
      </c>
    </row>
    <row r="7" spans="1:41" x14ac:dyDescent="0.2">
      <c r="A7" s="9"/>
      <c r="B7">
        <v>4096</v>
      </c>
      <c r="C7">
        <v>20.8</v>
      </c>
      <c r="D7" s="2">
        <v>0.88090000000000002</v>
      </c>
      <c r="E7" s="2">
        <v>1.2999999999999999E-2</v>
      </c>
      <c r="F7" s="2">
        <v>0.106</v>
      </c>
      <c r="G7">
        <v>8010220.4280000003</v>
      </c>
      <c r="H7" s="8" t="s">
        <v>37</v>
      </c>
      <c r="I7" s="9"/>
      <c r="J7">
        <v>128</v>
      </c>
      <c r="K7">
        <v>0.57999999999999996</v>
      </c>
      <c r="L7" s="2">
        <v>0.88149999999999995</v>
      </c>
      <c r="M7" s="2">
        <v>1.1599999999999999E-2</v>
      </c>
      <c r="N7" s="2">
        <v>0.1069</v>
      </c>
      <c r="O7">
        <v>8985543.0620000008</v>
      </c>
      <c r="P7" s="8"/>
      <c r="Q7" s="9"/>
      <c r="R7">
        <v>128</v>
      </c>
      <c r="S7">
        <v>0.57999999999999996</v>
      </c>
      <c r="T7" s="2">
        <v>0.88290000000000002</v>
      </c>
      <c r="U7" s="2">
        <v>1.15E-2</v>
      </c>
      <c r="V7" s="2">
        <v>0.1056</v>
      </c>
      <c r="W7">
        <v>8925197.6199999992</v>
      </c>
      <c r="X7" s="8"/>
      <c r="Y7" s="9"/>
      <c r="Z7">
        <v>128</v>
      </c>
      <c r="AA7">
        <v>0.59</v>
      </c>
      <c r="AB7" s="2">
        <v>0.88190000000000002</v>
      </c>
      <c r="AC7" s="2">
        <v>1.3299999999999999E-2</v>
      </c>
      <c r="AD7" s="2">
        <v>0.1048</v>
      </c>
      <c r="AE7">
        <v>8804806.8049999997</v>
      </c>
      <c r="AF7" s="8"/>
      <c r="AG7" s="9"/>
      <c r="AH7">
        <v>128</v>
      </c>
      <c r="AI7">
        <v>0.6</v>
      </c>
      <c r="AJ7" s="2">
        <v>0.88280000000000003</v>
      </c>
      <c r="AK7" s="2">
        <v>1.2999999999999999E-2</v>
      </c>
      <c r="AL7" s="2">
        <v>0.1042</v>
      </c>
      <c r="AM7">
        <v>8700711.1500000004</v>
      </c>
      <c r="AN7" s="8"/>
    </row>
    <row r="8" spans="1:41" x14ac:dyDescent="0.2">
      <c r="A8" s="9"/>
      <c r="B8">
        <v>128</v>
      </c>
      <c r="C8">
        <v>0.59</v>
      </c>
      <c r="D8" s="2">
        <v>0.88229999999999997</v>
      </c>
      <c r="E8" s="2">
        <v>1.23E-2</v>
      </c>
      <c r="F8" s="2">
        <v>0.10539999999999999</v>
      </c>
      <c r="G8">
        <v>8836569.9360000007</v>
      </c>
      <c r="H8" s="8"/>
      <c r="I8" s="9"/>
      <c r="J8">
        <v>256</v>
      </c>
      <c r="K8">
        <v>1.1399999999999999</v>
      </c>
      <c r="L8" s="2">
        <v>0.88249999999999995</v>
      </c>
      <c r="M8" s="2">
        <v>1.0699999999999999E-2</v>
      </c>
      <c r="N8" s="2">
        <v>0.10680000000000001</v>
      </c>
      <c r="O8">
        <v>9124323.1370000001</v>
      </c>
      <c r="P8" s="8"/>
      <c r="Q8" s="9"/>
      <c r="R8">
        <v>256</v>
      </c>
      <c r="S8">
        <v>1.17</v>
      </c>
      <c r="T8" s="2">
        <v>0.88249999999999995</v>
      </c>
      <c r="U8" s="2">
        <v>1.15E-2</v>
      </c>
      <c r="V8" s="2">
        <v>0.106</v>
      </c>
      <c r="W8">
        <v>8902278.4199999999</v>
      </c>
      <c r="X8" s="8"/>
      <c r="Y8" s="9"/>
      <c r="Z8">
        <v>256</v>
      </c>
      <c r="AA8">
        <v>1.19</v>
      </c>
      <c r="AB8" s="2">
        <v>0.88060000000000005</v>
      </c>
      <c r="AC8" s="2">
        <v>1.4200000000000001E-2</v>
      </c>
      <c r="AD8" s="2">
        <v>0.1052</v>
      </c>
      <c r="AE8">
        <v>8734594.1410000008</v>
      </c>
      <c r="AF8" s="8"/>
      <c r="AG8" s="9"/>
      <c r="AH8">
        <v>256</v>
      </c>
      <c r="AI8">
        <v>1.18</v>
      </c>
      <c r="AJ8" s="2">
        <v>0.88290000000000002</v>
      </c>
      <c r="AK8" s="2">
        <v>1.2200000000000001E-2</v>
      </c>
      <c r="AL8" s="2">
        <v>0.10489999999999999</v>
      </c>
      <c r="AM8">
        <v>8802300.5879999995</v>
      </c>
      <c r="AN8" s="8"/>
    </row>
    <row r="9" spans="1:41" x14ac:dyDescent="0.2">
      <c r="A9" s="9"/>
      <c r="B9">
        <v>256</v>
      </c>
      <c r="C9">
        <v>1.18</v>
      </c>
      <c r="D9" s="2">
        <v>0.8821</v>
      </c>
      <c r="E9" s="2">
        <v>1.2999999999999999E-2</v>
      </c>
      <c r="F9" s="2">
        <v>0.10489999999999999</v>
      </c>
      <c r="G9">
        <v>8806914.4629999995</v>
      </c>
      <c r="H9" s="8"/>
      <c r="I9" s="9"/>
      <c r="J9">
        <v>512</v>
      </c>
      <c r="K9">
        <v>2.39</v>
      </c>
      <c r="L9" s="2">
        <v>0.88170000000000004</v>
      </c>
      <c r="M9" s="2">
        <v>1.23E-2</v>
      </c>
      <c r="N9" s="2">
        <v>0.10589999999999999</v>
      </c>
      <c r="O9">
        <v>8696447.5319999997</v>
      </c>
      <c r="P9" s="8"/>
      <c r="Q9" s="9"/>
      <c r="R9">
        <v>512</v>
      </c>
      <c r="S9">
        <v>2.39</v>
      </c>
      <c r="T9" s="2">
        <v>0.88319999999999999</v>
      </c>
      <c r="U9" s="2">
        <v>1.1299999999999999E-2</v>
      </c>
      <c r="V9" s="2">
        <v>0.1055</v>
      </c>
      <c r="W9">
        <v>8696695.3499999996</v>
      </c>
      <c r="X9" s="8"/>
      <c r="Y9" s="9"/>
      <c r="Z9">
        <v>512</v>
      </c>
      <c r="AA9">
        <v>2.37</v>
      </c>
      <c r="AB9" s="2">
        <v>0.879</v>
      </c>
      <c r="AC9" s="2">
        <v>1.41E-2</v>
      </c>
      <c r="AD9" s="2">
        <v>0.1069</v>
      </c>
      <c r="AE9">
        <v>8781842.2400000002</v>
      </c>
      <c r="AF9" s="8"/>
      <c r="AG9" s="9"/>
      <c r="AH9">
        <v>512</v>
      </c>
      <c r="AI9">
        <v>2.4300000000000002</v>
      </c>
      <c r="AJ9" s="2">
        <v>0.88370000000000004</v>
      </c>
      <c r="AK9" s="2">
        <v>1.1599999999999999E-2</v>
      </c>
      <c r="AL9" s="2">
        <v>0.1047</v>
      </c>
      <c r="AM9">
        <v>8573572.0590000004</v>
      </c>
      <c r="AN9" s="8"/>
    </row>
    <row r="10" spans="1:41" x14ac:dyDescent="0.2">
      <c r="A10" s="9"/>
      <c r="B10">
        <v>512</v>
      </c>
      <c r="C10">
        <v>2.41</v>
      </c>
      <c r="D10" s="2">
        <v>0.88280000000000003</v>
      </c>
      <c r="E10" s="2">
        <v>1.2500000000000001E-2</v>
      </c>
      <c r="F10" s="2">
        <v>0.1046</v>
      </c>
      <c r="G10">
        <v>8610287.5810000002</v>
      </c>
      <c r="H10" s="8"/>
      <c r="I10" s="9"/>
      <c r="J10">
        <v>1024</v>
      </c>
      <c r="K10">
        <v>5.0199999999999996</v>
      </c>
      <c r="L10" s="2">
        <v>0.88060000000000005</v>
      </c>
      <c r="M10" s="2">
        <v>1.32E-2</v>
      </c>
      <c r="N10" s="2">
        <v>0.1061</v>
      </c>
      <c r="O10">
        <v>8302645.3080000002</v>
      </c>
      <c r="P10" s="8"/>
      <c r="Q10" s="9"/>
      <c r="R10">
        <v>1024</v>
      </c>
      <c r="S10">
        <v>4.96</v>
      </c>
      <c r="T10" s="2">
        <v>0.88329999999999997</v>
      </c>
      <c r="U10" s="2">
        <v>1.09E-2</v>
      </c>
      <c r="V10" s="2">
        <v>0.1057</v>
      </c>
      <c r="W10">
        <v>8394848.7290000003</v>
      </c>
      <c r="X10" s="8"/>
      <c r="Y10" s="9"/>
      <c r="Z10">
        <v>1024</v>
      </c>
      <c r="AA10">
        <v>4.9800000000000004</v>
      </c>
      <c r="AB10" s="2">
        <v>0.88090000000000002</v>
      </c>
      <c r="AC10" s="2">
        <v>1.2200000000000001E-2</v>
      </c>
      <c r="AD10" s="2">
        <v>0.1069</v>
      </c>
      <c r="AE10">
        <v>8375716.5980000002</v>
      </c>
      <c r="AF10" s="8"/>
      <c r="AG10" s="9"/>
      <c r="AH10">
        <v>1024</v>
      </c>
      <c r="AI10">
        <v>5.0599999999999996</v>
      </c>
      <c r="AJ10" s="2">
        <v>0.88219999999999998</v>
      </c>
      <c r="AK10" s="2">
        <v>1.34E-2</v>
      </c>
      <c r="AL10" s="2">
        <v>0.10440000000000001</v>
      </c>
      <c r="AM10">
        <v>8213635.5650000004</v>
      </c>
      <c r="AN10" s="8"/>
    </row>
    <row r="11" spans="1:41" x14ac:dyDescent="0.2">
      <c r="A11" s="9"/>
      <c r="B11">
        <v>1024</v>
      </c>
      <c r="C11">
        <v>5.0999999999999996</v>
      </c>
      <c r="D11" s="2">
        <v>0.88170000000000004</v>
      </c>
      <c r="E11" s="2">
        <v>1.3299999999999999E-2</v>
      </c>
      <c r="F11" s="2">
        <v>0.105</v>
      </c>
      <c r="G11">
        <v>8156985.0870000003</v>
      </c>
      <c r="H11" s="8"/>
      <c r="I11" s="9"/>
      <c r="J11">
        <v>2048</v>
      </c>
      <c r="K11">
        <v>10.6</v>
      </c>
      <c r="L11" s="2">
        <v>0.88090000000000002</v>
      </c>
      <c r="M11" s="2">
        <v>1.37E-2</v>
      </c>
      <c r="N11" s="2">
        <v>0.1053</v>
      </c>
      <c r="O11">
        <v>7853778.6220000004</v>
      </c>
      <c r="P11" s="8" t="s">
        <v>8</v>
      </c>
      <c r="Q11" s="9"/>
      <c r="R11">
        <v>2048</v>
      </c>
      <c r="S11">
        <v>10.65</v>
      </c>
      <c r="T11" s="2">
        <v>0.88319999999999999</v>
      </c>
      <c r="U11" s="2">
        <v>1.2E-2</v>
      </c>
      <c r="V11" s="2">
        <v>0.1048</v>
      </c>
      <c r="W11">
        <v>7813147.443</v>
      </c>
      <c r="X11" s="8" t="s">
        <v>8</v>
      </c>
      <c r="Y11" s="9"/>
      <c r="Z11">
        <v>2048</v>
      </c>
      <c r="AA11">
        <v>10.41</v>
      </c>
      <c r="AB11" s="2">
        <v>0.88190000000000002</v>
      </c>
      <c r="AC11" s="2">
        <v>1.24E-2</v>
      </c>
      <c r="AD11" s="2">
        <v>0.1057</v>
      </c>
      <c r="AE11">
        <v>7999815.2199999997</v>
      </c>
      <c r="AF11" s="8" t="s">
        <v>0</v>
      </c>
      <c r="AG11" s="9"/>
      <c r="AH11">
        <v>2048</v>
      </c>
      <c r="AI11">
        <v>10.54</v>
      </c>
      <c r="AJ11" s="2">
        <v>0.88180000000000003</v>
      </c>
      <c r="AK11" s="2">
        <v>1.3599999999999999E-2</v>
      </c>
      <c r="AL11" s="2">
        <v>0.1046</v>
      </c>
      <c r="AM11">
        <v>7888425.7800000003</v>
      </c>
      <c r="AN11" s="8" t="s">
        <v>20</v>
      </c>
    </row>
    <row r="12" spans="1:41" x14ac:dyDescent="0.2">
      <c r="A12" s="9"/>
      <c r="B12">
        <v>2048</v>
      </c>
      <c r="C12">
        <v>10.72</v>
      </c>
      <c r="D12" s="2">
        <v>0.88249999999999995</v>
      </c>
      <c r="E12" s="2">
        <v>1.2999999999999999E-2</v>
      </c>
      <c r="F12" s="2">
        <v>0.1045</v>
      </c>
      <c r="G12">
        <v>7757462.6169999996</v>
      </c>
      <c r="H12" s="8" t="s">
        <v>7</v>
      </c>
      <c r="I12" s="9"/>
      <c r="J12">
        <v>128</v>
      </c>
      <c r="K12">
        <v>0.59</v>
      </c>
      <c r="L12" s="2">
        <v>0.88619999999999999</v>
      </c>
      <c r="M12" s="2">
        <v>1.04E-2</v>
      </c>
      <c r="N12" s="2">
        <v>0.10340000000000001</v>
      </c>
      <c r="O12">
        <v>8755281.4849999994</v>
      </c>
      <c r="P12" s="8"/>
      <c r="Q12" s="9"/>
      <c r="R12">
        <v>128</v>
      </c>
      <c r="S12">
        <v>0.57999999999999996</v>
      </c>
      <c r="T12" s="2">
        <v>0.8831</v>
      </c>
      <c r="U12" s="2">
        <v>1.0699999999999999E-2</v>
      </c>
      <c r="V12" s="2">
        <v>0.1062</v>
      </c>
      <c r="W12">
        <v>9000783.2520000003</v>
      </c>
      <c r="X12" s="8"/>
      <c r="Y12" s="9"/>
      <c r="Z12">
        <v>128</v>
      </c>
      <c r="AA12">
        <v>0.57999999999999996</v>
      </c>
      <c r="AB12" s="2">
        <v>0.88270000000000004</v>
      </c>
      <c r="AC12" s="2">
        <v>1.15E-2</v>
      </c>
      <c r="AD12" s="2">
        <v>0.10580000000000001</v>
      </c>
      <c r="AE12">
        <v>8902320.9910000004</v>
      </c>
      <c r="AF12" s="8"/>
      <c r="AG12" s="9"/>
      <c r="AH12">
        <v>128</v>
      </c>
      <c r="AI12">
        <v>0.59</v>
      </c>
      <c r="AJ12" s="2">
        <v>0.88170000000000004</v>
      </c>
      <c r="AK12" s="2">
        <v>1.2999999999999999E-2</v>
      </c>
      <c r="AL12" s="2">
        <v>0.1053</v>
      </c>
      <c r="AM12">
        <v>8863394.8469999991</v>
      </c>
      <c r="AN12" s="8"/>
    </row>
    <row r="13" spans="1:41" x14ac:dyDescent="0.2">
      <c r="A13" s="9"/>
      <c r="B13">
        <v>128</v>
      </c>
      <c r="C13">
        <v>0.57999999999999996</v>
      </c>
      <c r="D13" s="2">
        <v>0.88270000000000004</v>
      </c>
      <c r="E13" s="2">
        <v>1.0999999999999999E-2</v>
      </c>
      <c r="F13" s="2">
        <v>0.10630000000000001</v>
      </c>
      <c r="G13">
        <v>9008605.8389999997</v>
      </c>
      <c r="H13" s="8"/>
      <c r="I13" s="9"/>
      <c r="J13">
        <v>256</v>
      </c>
      <c r="K13">
        <v>1.17</v>
      </c>
      <c r="L13" s="2">
        <v>0.88160000000000005</v>
      </c>
      <c r="M13" s="2">
        <v>1.3100000000000001E-2</v>
      </c>
      <c r="N13" s="2">
        <v>0.10539999999999999</v>
      </c>
      <c r="O13">
        <v>8878307.8469999991</v>
      </c>
      <c r="P13" s="8"/>
      <c r="Q13" s="9"/>
      <c r="R13">
        <v>256</v>
      </c>
      <c r="S13">
        <v>1.17</v>
      </c>
      <c r="T13" s="2">
        <v>0.88290000000000002</v>
      </c>
      <c r="U13" s="2">
        <v>1.1299999999999999E-2</v>
      </c>
      <c r="V13" s="2">
        <v>0.10580000000000001</v>
      </c>
      <c r="W13">
        <v>8913667.8039999995</v>
      </c>
      <c r="X13" s="8"/>
      <c r="Y13" s="9"/>
      <c r="Z13">
        <v>256</v>
      </c>
      <c r="AA13">
        <v>1.18</v>
      </c>
      <c r="AB13" s="2">
        <v>0.88219999999999998</v>
      </c>
      <c r="AC13" s="2">
        <v>1.2200000000000001E-2</v>
      </c>
      <c r="AD13" s="2">
        <v>0.1056</v>
      </c>
      <c r="AE13">
        <v>8823017.557</v>
      </c>
      <c r="AF13" s="8"/>
      <c r="AG13" s="9"/>
      <c r="AH13">
        <v>256</v>
      </c>
      <c r="AI13">
        <v>1.19</v>
      </c>
      <c r="AJ13" s="2">
        <v>0.88129999999999997</v>
      </c>
      <c r="AK13" s="2">
        <v>1.41E-2</v>
      </c>
      <c r="AL13" s="2">
        <v>0.1046</v>
      </c>
      <c r="AM13">
        <v>8706367.193</v>
      </c>
      <c r="AN13" s="8"/>
    </row>
    <row r="14" spans="1:41" x14ac:dyDescent="0.2">
      <c r="A14" s="9"/>
      <c r="B14">
        <v>256</v>
      </c>
      <c r="C14">
        <v>1.17</v>
      </c>
      <c r="D14" s="2">
        <v>0.88290000000000002</v>
      </c>
      <c r="E14" s="2">
        <v>1.14E-2</v>
      </c>
      <c r="F14" s="2">
        <v>0.1057</v>
      </c>
      <c r="G14">
        <v>8909077.8570000008</v>
      </c>
      <c r="H14" s="8"/>
      <c r="I14" s="9"/>
      <c r="J14">
        <v>512</v>
      </c>
      <c r="K14">
        <v>2.35</v>
      </c>
      <c r="L14" s="2">
        <v>0.88070000000000004</v>
      </c>
      <c r="M14" s="2">
        <v>1.2500000000000001E-2</v>
      </c>
      <c r="N14" s="2">
        <v>0.10680000000000001</v>
      </c>
      <c r="O14">
        <v>8856319.4389999993</v>
      </c>
      <c r="P14" s="8"/>
      <c r="Q14" s="9"/>
      <c r="R14">
        <v>512</v>
      </c>
      <c r="S14">
        <v>2.44</v>
      </c>
      <c r="T14" s="2">
        <v>0.88419999999999999</v>
      </c>
      <c r="U14" s="2">
        <v>1.15E-2</v>
      </c>
      <c r="V14" s="2">
        <v>0.10440000000000001</v>
      </c>
      <c r="W14">
        <v>8509932.5789999999</v>
      </c>
      <c r="X14" s="8"/>
      <c r="Y14" s="9"/>
      <c r="Z14">
        <v>512</v>
      </c>
      <c r="AA14">
        <v>2.42</v>
      </c>
      <c r="AB14" s="2">
        <v>0.88370000000000004</v>
      </c>
      <c r="AC14" s="2">
        <v>1.1599999999999999E-2</v>
      </c>
      <c r="AD14" s="2">
        <v>0.1047</v>
      </c>
      <c r="AE14">
        <v>8587303.1319999993</v>
      </c>
      <c r="AF14" s="8"/>
      <c r="AG14" s="9"/>
      <c r="AH14">
        <v>512</v>
      </c>
      <c r="AI14">
        <v>2.46</v>
      </c>
      <c r="AJ14" s="2">
        <v>0.88080000000000003</v>
      </c>
      <c r="AK14" s="2">
        <v>1.4500000000000001E-2</v>
      </c>
      <c r="AL14" s="2">
        <v>0.1048</v>
      </c>
      <c r="AM14">
        <v>8446383.8969999999</v>
      </c>
      <c r="AN14" s="8"/>
    </row>
    <row r="15" spans="1:41" x14ac:dyDescent="0.2">
      <c r="A15" s="9"/>
      <c r="B15">
        <v>512</v>
      </c>
      <c r="C15">
        <v>2.39</v>
      </c>
      <c r="D15" s="2">
        <v>0.88349999999999995</v>
      </c>
      <c r="E15" s="2">
        <v>1.15E-2</v>
      </c>
      <c r="F15" s="2">
        <v>0.105</v>
      </c>
      <c r="G15">
        <v>8696740.0399999991</v>
      </c>
      <c r="H15" s="8"/>
      <c r="I15" s="9"/>
      <c r="J15">
        <v>1024</v>
      </c>
      <c r="K15">
        <v>4.95</v>
      </c>
      <c r="L15" s="2">
        <v>0.88239999999999996</v>
      </c>
      <c r="M15" s="2">
        <v>1.14E-2</v>
      </c>
      <c r="N15" s="2">
        <v>0.1062</v>
      </c>
      <c r="O15">
        <v>8413089.3239999991</v>
      </c>
      <c r="P15" s="8"/>
      <c r="Q15" s="9"/>
      <c r="R15">
        <v>1024</v>
      </c>
      <c r="S15">
        <v>5.08</v>
      </c>
      <c r="T15" s="2">
        <v>0.88300000000000001</v>
      </c>
      <c r="U15" s="2">
        <v>1.15E-2</v>
      </c>
      <c r="V15" s="2">
        <v>0.1055</v>
      </c>
      <c r="W15">
        <v>8185797.165</v>
      </c>
      <c r="X15" s="8"/>
      <c r="Y15" s="9"/>
      <c r="Z15">
        <v>1024</v>
      </c>
      <c r="AA15">
        <v>5.03</v>
      </c>
      <c r="AB15" s="2">
        <v>0.88249999999999995</v>
      </c>
      <c r="AC15" s="2">
        <v>1.1900000000000001E-2</v>
      </c>
      <c r="AD15" s="2">
        <v>0.1056</v>
      </c>
      <c r="AE15">
        <v>8284083.6500000004</v>
      </c>
      <c r="AF15" s="8"/>
      <c r="AG15" s="9"/>
      <c r="AH15">
        <v>1024</v>
      </c>
      <c r="AI15">
        <v>5.07</v>
      </c>
      <c r="AJ15" s="2">
        <v>0.88290000000000002</v>
      </c>
      <c r="AK15" s="2">
        <v>1.17E-2</v>
      </c>
      <c r="AL15" s="2">
        <v>0.10539999999999999</v>
      </c>
      <c r="AM15">
        <v>8202993.2740000002</v>
      </c>
      <c r="AN15" s="8"/>
    </row>
    <row r="16" spans="1:41" x14ac:dyDescent="0.2">
      <c r="A16" s="9"/>
      <c r="B16">
        <v>1024</v>
      </c>
      <c r="C16">
        <v>4.9800000000000004</v>
      </c>
      <c r="D16" s="2">
        <v>0.88319999999999999</v>
      </c>
      <c r="E16" s="2">
        <v>1.1599999999999999E-2</v>
      </c>
      <c r="F16" s="2">
        <v>0.1052</v>
      </c>
      <c r="G16">
        <v>8353411.0599999996</v>
      </c>
      <c r="H16" s="8"/>
      <c r="I16" s="9"/>
      <c r="J16">
        <v>2048</v>
      </c>
      <c r="K16">
        <v>10.34</v>
      </c>
      <c r="L16" s="2">
        <v>0.88039999999999996</v>
      </c>
      <c r="M16" s="2">
        <v>1.3599999999999999E-2</v>
      </c>
      <c r="N16" s="2">
        <v>0.106</v>
      </c>
      <c r="O16">
        <v>8057894.9979999997</v>
      </c>
      <c r="P16" s="8" t="s">
        <v>41</v>
      </c>
      <c r="Q16" s="9"/>
      <c r="R16">
        <v>2048</v>
      </c>
      <c r="S16">
        <v>10.56</v>
      </c>
      <c r="T16" s="2">
        <v>0.88329999999999997</v>
      </c>
      <c r="U16" s="2">
        <v>1.14E-2</v>
      </c>
      <c r="V16" s="2">
        <v>0.1053</v>
      </c>
      <c r="W16">
        <v>7884122.835</v>
      </c>
      <c r="X16" s="8" t="s">
        <v>40</v>
      </c>
      <c r="Y16" s="9"/>
      <c r="Z16">
        <v>2048</v>
      </c>
      <c r="AA16">
        <v>10.45</v>
      </c>
      <c r="AB16" s="2">
        <v>0.88329999999999997</v>
      </c>
      <c r="AC16" s="2">
        <v>1.15E-2</v>
      </c>
      <c r="AD16" s="2">
        <v>0.1052</v>
      </c>
      <c r="AE16">
        <v>7966921.7520000003</v>
      </c>
      <c r="AF16" s="8" t="s">
        <v>39</v>
      </c>
      <c r="AG16" s="9"/>
      <c r="AH16">
        <v>2048</v>
      </c>
      <c r="AI16">
        <v>10.55</v>
      </c>
      <c r="AJ16" s="2">
        <v>0.88229999999999997</v>
      </c>
      <c r="AK16" s="2">
        <v>1.24E-2</v>
      </c>
      <c r="AL16" s="2">
        <v>0.1053</v>
      </c>
      <c r="AM16">
        <v>7889839.125</v>
      </c>
      <c r="AN16" s="8" t="s">
        <v>29</v>
      </c>
    </row>
    <row r="17" spans="1:41" x14ac:dyDescent="0.2">
      <c r="A17" s="9"/>
      <c r="B17">
        <v>2048</v>
      </c>
      <c r="C17">
        <v>10.37</v>
      </c>
      <c r="D17" s="2">
        <v>0.88349999999999995</v>
      </c>
      <c r="E17" s="2">
        <v>1.12E-2</v>
      </c>
      <c r="F17" s="2">
        <v>0.1053</v>
      </c>
      <c r="G17">
        <v>8029166.9050000003</v>
      </c>
      <c r="H17" s="8" t="s">
        <v>39</v>
      </c>
      <c r="I17" s="9"/>
      <c r="J17">
        <v>128</v>
      </c>
      <c r="K17">
        <v>0.56999999999999995</v>
      </c>
      <c r="L17" s="2">
        <v>0.88200000000000001</v>
      </c>
      <c r="M17" s="2">
        <v>1.11E-2</v>
      </c>
      <c r="N17" s="2">
        <v>0.107</v>
      </c>
      <c r="O17">
        <v>9101839.5020000003</v>
      </c>
      <c r="P17" s="8"/>
      <c r="Q17" s="9"/>
      <c r="R17">
        <v>128</v>
      </c>
      <c r="S17">
        <v>0.59</v>
      </c>
      <c r="T17" s="2">
        <v>0.88100000000000001</v>
      </c>
      <c r="U17" s="2">
        <v>1.0999999999999999E-2</v>
      </c>
      <c r="V17" s="2">
        <v>0.108</v>
      </c>
      <c r="W17">
        <v>8907398.3340000007</v>
      </c>
      <c r="X17" s="8"/>
      <c r="Y17" s="9"/>
      <c r="Z17">
        <v>128</v>
      </c>
      <c r="AA17">
        <v>0.6</v>
      </c>
      <c r="AB17" s="2">
        <v>0.88070000000000004</v>
      </c>
      <c r="AC17" s="2">
        <v>1.43E-2</v>
      </c>
      <c r="AD17" s="2">
        <v>0.1051</v>
      </c>
      <c r="AE17">
        <v>8720731.5250000004</v>
      </c>
      <c r="AF17" s="8"/>
      <c r="AG17" s="9"/>
      <c r="AH17">
        <v>128</v>
      </c>
      <c r="AI17">
        <v>0.57999999999999996</v>
      </c>
      <c r="AJ17" s="2">
        <v>0.88139999999999996</v>
      </c>
      <c r="AK17" s="2">
        <v>1.2E-2</v>
      </c>
      <c r="AL17" s="2">
        <v>0.1066</v>
      </c>
      <c r="AM17">
        <v>8954028.1850000005</v>
      </c>
      <c r="AN17" s="8"/>
    </row>
    <row r="18" spans="1:41" x14ac:dyDescent="0.2">
      <c r="A18" s="9"/>
      <c r="B18">
        <v>128</v>
      </c>
      <c r="C18">
        <v>0.57999999999999996</v>
      </c>
      <c r="D18" s="2">
        <v>0.88109999999999999</v>
      </c>
      <c r="E18" s="2">
        <v>1.32E-2</v>
      </c>
      <c r="F18" s="2">
        <v>0.1056</v>
      </c>
      <c r="G18">
        <v>8910075.6410000008</v>
      </c>
      <c r="H18" s="8"/>
      <c r="I18" s="9"/>
      <c r="J18">
        <v>256</v>
      </c>
      <c r="K18">
        <v>1.17</v>
      </c>
      <c r="L18" s="2">
        <v>0.88260000000000005</v>
      </c>
      <c r="M18" s="2">
        <v>1.18E-2</v>
      </c>
      <c r="N18" s="2">
        <v>0.1056</v>
      </c>
      <c r="O18">
        <v>8888804.0050000008</v>
      </c>
      <c r="P18" s="8"/>
      <c r="Q18" s="9"/>
      <c r="R18">
        <v>256</v>
      </c>
      <c r="S18">
        <v>1.1599999999999999</v>
      </c>
      <c r="T18" s="2">
        <v>0.88119999999999998</v>
      </c>
      <c r="U18" s="2">
        <v>1.2E-2</v>
      </c>
      <c r="V18" s="2">
        <v>0.1067</v>
      </c>
      <c r="W18">
        <v>9006696.8499999996</v>
      </c>
      <c r="X18" s="8"/>
      <c r="Y18" s="9"/>
      <c r="Z18">
        <v>256</v>
      </c>
      <c r="AA18">
        <v>1.19</v>
      </c>
      <c r="AB18" s="2">
        <v>0.88370000000000004</v>
      </c>
      <c r="AC18" s="2">
        <v>1.1900000000000001E-2</v>
      </c>
      <c r="AD18" s="2">
        <v>0.10440000000000001</v>
      </c>
      <c r="AE18">
        <v>8736766.7200000007</v>
      </c>
      <c r="AF18" s="8"/>
      <c r="AG18" s="9"/>
      <c r="AH18">
        <v>256</v>
      </c>
      <c r="AI18">
        <v>1.2</v>
      </c>
      <c r="AJ18" s="2">
        <v>0.88239999999999996</v>
      </c>
      <c r="AK18" s="2">
        <v>1.32E-2</v>
      </c>
      <c r="AL18" s="2">
        <v>0.1043</v>
      </c>
      <c r="AM18">
        <v>8686963.8990000002</v>
      </c>
      <c r="AN18" s="8"/>
    </row>
    <row r="19" spans="1:41" x14ac:dyDescent="0.2">
      <c r="A19" s="9"/>
      <c r="B19">
        <v>256</v>
      </c>
      <c r="C19">
        <v>1.17</v>
      </c>
      <c r="D19" s="2">
        <v>0.87980000000000003</v>
      </c>
      <c r="E19" s="2">
        <v>1.3899999999999999E-2</v>
      </c>
      <c r="F19" s="2">
        <v>0.10630000000000001</v>
      </c>
      <c r="G19">
        <v>8901614.3699999992</v>
      </c>
      <c r="H19" s="8"/>
      <c r="I19" s="9"/>
      <c r="J19">
        <v>512</v>
      </c>
      <c r="K19">
        <v>2.42</v>
      </c>
      <c r="L19" s="2">
        <v>0.88339999999999996</v>
      </c>
      <c r="M19" s="2">
        <v>1.12E-2</v>
      </c>
      <c r="N19" s="2">
        <v>0.10539999999999999</v>
      </c>
      <c r="O19">
        <v>8612605.9440000001</v>
      </c>
      <c r="P19" s="8"/>
      <c r="Q19" s="9"/>
      <c r="R19">
        <v>512</v>
      </c>
      <c r="S19">
        <v>2.39</v>
      </c>
      <c r="T19" s="2">
        <v>0.88170000000000004</v>
      </c>
      <c r="U19" s="2">
        <v>1.1900000000000001E-2</v>
      </c>
      <c r="V19" s="2">
        <v>0.10639999999999999</v>
      </c>
      <c r="W19">
        <v>8700605.4240000006</v>
      </c>
      <c r="X19" s="8"/>
      <c r="Y19" s="9"/>
      <c r="Z19">
        <v>512</v>
      </c>
      <c r="AA19">
        <v>2.5</v>
      </c>
      <c r="AB19" s="2">
        <v>0.88349999999999995</v>
      </c>
      <c r="AC19" s="2">
        <v>1.3299999999999999E-2</v>
      </c>
      <c r="AD19" s="2">
        <v>0.1032</v>
      </c>
      <c r="AE19">
        <v>8314795.5350000001</v>
      </c>
      <c r="AF19" s="8"/>
      <c r="AG19" s="9"/>
      <c r="AH19">
        <v>512</v>
      </c>
      <c r="AI19">
        <v>2.41</v>
      </c>
      <c r="AJ19" s="2">
        <v>0.88239999999999996</v>
      </c>
      <c r="AK19" s="2">
        <v>1.15E-2</v>
      </c>
      <c r="AL19" s="2">
        <v>0.1061</v>
      </c>
      <c r="AM19">
        <v>8641350.2109999992</v>
      </c>
      <c r="AN19" s="8"/>
    </row>
    <row r="20" spans="1:41" x14ac:dyDescent="0.2">
      <c r="A20" s="9"/>
      <c r="B20">
        <v>512</v>
      </c>
      <c r="C20">
        <v>2.4300000000000002</v>
      </c>
      <c r="D20" s="2">
        <v>0.88060000000000005</v>
      </c>
      <c r="E20" s="2">
        <v>1.4200000000000001E-2</v>
      </c>
      <c r="F20" s="2">
        <v>0.1052</v>
      </c>
      <c r="G20">
        <v>8547795.1559999995</v>
      </c>
      <c r="H20" s="8"/>
      <c r="I20" s="9"/>
      <c r="J20">
        <v>1024</v>
      </c>
      <c r="K20">
        <v>5.04</v>
      </c>
      <c r="L20" s="2">
        <v>0.88339999999999996</v>
      </c>
      <c r="M20" s="2">
        <v>1.1599999999999999E-2</v>
      </c>
      <c r="N20" s="2">
        <v>0.105</v>
      </c>
      <c r="O20">
        <v>8261811.8559999997</v>
      </c>
      <c r="P20" s="8"/>
      <c r="Q20" s="9"/>
      <c r="R20">
        <v>1024</v>
      </c>
      <c r="S20">
        <v>5</v>
      </c>
      <c r="T20" s="2">
        <v>0.88219999999999998</v>
      </c>
      <c r="U20" s="2">
        <v>1.12E-2</v>
      </c>
      <c r="V20" s="2">
        <v>0.1065</v>
      </c>
      <c r="W20">
        <v>8328395.1069999998</v>
      </c>
      <c r="X20" s="8"/>
      <c r="Y20" s="9"/>
      <c r="Z20">
        <v>1024</v>
      </c>
      <c r="AA20">
        <v>5.22</v>
      </c>
      <c r="AB20" s="2">
        <v>0.88160000000000005</v>
      </c>
      <c r="AC20" s="2">
        <v>1.3899999999999999E-2</v>
      </c>
      <c r="AD20" s="2">
        <v>0.1045</v>
      </c>
      <c r="AE20">
        <v>7966056.6919999998</v>
      </c>
      <c r="AF20" s="8"/>
      <c r="AG20" s="9"/>
      <c r="AH20">
        <v>1024</v>
      </c>
      <c r="AI20">
        <v>5.09</v>
      </c>
      <c r="AJ20" s="2">
        <v>0.88039999999999996</v>
      </c>
      <c r="AK20" s="2">
        <v>1.38E-2</v>
      </c>
      <c r="AL20" s="2">
        <v>0.10580000000000001</v>
      </c>
      <c r="AM20">
        <v>8185505.625</v>
      </c>
      <c r="AN20" s="8"/>
    </row>
    <row r="21" spans="1:41" x14ac:dyDescent="0.2">
      <c r="A21" s="9"/>
      <c r="B21">
        <v>1024</v>
      </c>
      <c r="C21">
        <v>5.01</v>
      </c>
      <c r="D21" s="2">
        <v>0.88149999999999995</v>
      </c>
      <c r="E21" s="2">
        <v>1.2E-2</v>
      </c>
      <c r="F21" s="2">
        <v>0.1065</v>
      </c>
      <c r="G21">
        <v>8321359.1440000003</v>
      </c>
      <c r="H21" s="8"/>
      <c r="I21" s="9"/>
      <c r="J21">
        <v>2048</v>
      </c>
      <c r="K21">
        <v>10.61</v>
      </c>
      <c r="L21" s="2">
        <v>0.88280000000000003</v>
      </c>
      <c r="M21" s="2">
        <v>1.23E-2</v>
      </c>
      <c r="N21" s="2">
        <v>0.10489999999999999</v>
      </c>
      <c r="O21">
        <v>7842523.6849999996</v>
      </c>
      <c r="P21" s="8" t="s">
        <v>8</v>
      </c>
      <c r="Q21" s="9"/>
      <c r="R21">
        <v>2048</v>
      </c>
      <c r="S21">
        <v>10.35</v>
      </c>
      <c r="T21" s="2">
        <v>0.88070000000000004</v>
      </c>
      <c r="U21" s="2">
        <v>1.17E-2</v>
      </c>
      <c r="V21" s="2">
        <v>0.1076</v>
      </c>
      <c r="W21">
        <v>8061858.1950000003</v>
      </c>
      <c r="X21" s="8" t="s">
        <v>0</v>
      </c>
      <c r="Y21" s="9"/>
      <c r="Z21">
        <v>2048</v>
      </c>
      <c r="AA21">
        <v>10.74</v>
      </c>
      <c r="AB21" s="2">
        <v>0.88180000000000003</v>
      </c>
      <c r="AC21" s="2">
        <v>1.38E-2</v>
      </c>
      <c r="AD21" s="2">
        <v>0.10440000000000001</v>
      </c>
      <c r="AE21">
        <v>7740575.4309999999</v>
      </c>
      <c r="AF21" s="8" t="s">
        <v>21</v>
      </c>
      <c r="AG21" s="9"/>
      <c r="AH21">
        <v>2048</v>
      </c>
      <c r="AI21">
        <v>10.7</v>
      </c>
      <c r="AJ21" s="2">
        <v>0.88100000000000001</v>
      </c>
      <c r="AK21" s="2">
        <v>1.41E-2</v>
      </c>
      <c r="AL21" s="2">
        <v>0.105</v>
      </c>
      <c r="AM21">
        <v>7775698.9979999997</v>
      </c>
      <c r="AN21" s="8" t="s">
        <v>21</v>
      </c>
    </row>
    <row r="22" spans="1:41" x14ac:dyDescent="0.2">
      <c r="A22" s="9"/>
      <c r="B22">
        <v>2048</v>
      </c>
      <c r="C22">
        <v>10.44</v>
      </c>
      <c r="D22" s="2">
        <v>0.88270000000000004</v>
      </c>
      <c r="E22" s="2">
        <v>1.1599999999999999E-2</v>
      </c>
      <c r="F22" s="2">
        <v>0.1057</v>
      </c>
      <c r="G22">
        <v>7974250.3310000002</v>
      </c>
      <c r="H22" s="8" t="s">
        <v>29</v>
      </c>
      <c r="I22" s="9"/>
      <c r="J22">
        <v>128</v>
      </c>
      <c r="K22">
        <v>0.59</v>
      </c>
      <c r="L22" s="2">
        <v>0.88329999999999997</v>
      </c>
      <c r="M22" s="2">
        <v>1.06E-2</v>
      </c>
      <c r="N22" s="2">
        <v>0.1061</v>
      </c>
      <c r="O22">
        <v>8853851.1879999992</v>
      </c>
      <c r="P22" s="8"/>
      <c r="Q22" s="9"/>
      <c r="R22">
        <v>128</v>
      </c>
      <c r="S22">
        <v>0.59</v>
      </c>
      <c r="T22" s="2">
        <v>0.88500000000000001</v>
      </c>
      <c r="U22" s="2">
        <v>1.04E-2</v>
      </c>
      <c r="V22" s="2">
        <v>0.1047</v>
      </c>
      <c r="W22">
        <v>8811207.8760000002</v>
      </c>
      <c r="X22" s="8"/>
      <c r="Y22" s="9"/>
      <c r="Z22">
        <v>128</v>
      </c>
      <c r="AA22">
        <v>0.59</v>
      </c>
      <c r="AB22" s="2">
        <v>0.88329999999999997</v>
      </c>
      <c r="AC22" s="2">
        <v>1.1599999999999999E-2</v>
      </c>
      <c r="AD22" s="2">
        <v>0.1051</v>
      </c>
      <c r="AE22">
        <v>8780935.0950000007</v>
      </c>
      <c r="AF22" s="8"/>
      <c r="AG22" s="9"/>
      <c r="AH22">
        <v>128</v>
      </c>
      <c r="AI22">
        <v>0.59</v>
      </c>
      <c r="AJ22" s="2">
        <v>0.88260000000000005</v>
      </c>
      <c r="AK22" s="2">
        <v>1.29E-2</v>
      </c>
      <c r="AL22" s="2">
        <v>0.1045</v>
      </c>
      <c r="AM22">
        <v>8779709.2970000003</v>
      </c>
      <c r="AN22" s="8"/>
    </row>
    <row r="23" spans="1:41" x14ac:dyDescent="0.2">
      <c r="A23" s="9"/>
      <c r="B23">
        <v>128</v>
      </c>
      <c r="C23">
        <v>0.59</v>
      </c>
      <c r="D23" s="2">
        <v>0.88380000000000003</v>
      </c>
      <c r="E23" s="2">
        <v>1.09E-2</v>
      </c>
      <c r="F23" s="2">
        <v>0.1053</v>
      </c>
      <c r="G23">
        <v>8837878.7939999998</v>
      </c>
      <c r="H23" s="8"/>
      <c r="I23" s="9"/>
      <c r="J23">
        <v>256</v>
      </c>
      <c r="K23">
        <v>1.1599999999999999</v>
      </c>
      <c r="L23" s="2">
        <v>0.88280000000000003</v>
      </c>
      <c r="M23" s="2">
        <v>1.12E-2</v>
      </c>
      <c r="N23" s="2">
        <v>0.10589999999999999</v>
      </c>
      <c r="O23">
        <v>8949887.0710000005</v>
      </c>
      <c r="P23" s="8"/>
      <c r="Q23" s="9"/>
      <c r="R23">
        <v>256</v>
      </c>
      <c r="S23">
        <v>1.17</v>
      </c>
      <c r="T23" s="2">
        <v>0.88329999999999997</v>
      </c>
      <c r="U23" s="2">
        <v>1.09E-2</v>
      </c>
      <c r="V23" s="2">
        <v>0.10580000000000001</v>
      </c>
      <c r="W23">
        <v>8883069.5879999995</v>
      </c>
      <c r="X23" s="8"/>
      <c r="Y23" s="9"/>
      <c r="Z23">
        <v>256</v>
      </c>
      <c r="AA23">
        <v>1.1599999999999999</v>
      </c>
      <c r="AB23" s="2">
        <v>0.88280000000000003</v>
      </c>
      <c r="AC23" s="2">
        <v>1.14E-2</v>
      </c>
      <c r="AD23" s="2">
        <v>0.10580000000000001</v>
      </c>
      <c r="AE23">
        <v>8963927.2650000006</v>
      </c>
      <c r="AF23" s="8"/>
      <c r="AG23" s="9"/>
      <c r="AH23">
        <v>256</v>
      </c>
      <c r="AI23">
        <v>1.24</v>
      </c>
      <c r="AJ23" s="2">
        <v>0.88460000000000005</v>
      </c>
      <c r="AK23" s="2">
        <v>1.2699999999999999E-2</v>
      </c>
      <c r="AL23" s="2">
        <v>0.1027</v>
      </c>
      <c r="AM23">
        <v>8373975.9869999997</v>
      </c>
      <c r="AN23" s="8"/>
    </row>
    <row r="24" spans="1:41" x14ac:dyDescent="0.2">
      <c r="A24" s="9"/>
      <c r="B24">
        <v>256</v>
      </c>
      <c r="C24">
        <v>1.22</v>
      </c>
      <c r="D24" s="2">
        <v>0.88149999999999995</v>
      </c>
      <c r="E24" s="2">
        <v>1.26E-2</v>
      </c>
      <c r="F24" s="2">
        <v>0.10580000000000001</v>
      </c>
      <c r="G24">
        <v>8530674.341</v>
      </c>
      <c r="H24" s="8"/>
      <c r="I24" s="9"/>
      <c r="J24">
        <v>512</v>
      </c>
      <c r="K24">
        <v>2.4300000000000002</v>
      </c>
      <c r="L24" s="2">
        <v>0.87890000000000001</v>
      </c>
      <c r="M24" s="2">
        <v>1.5100000000000001E-2</v>
      </c>
      <c r="N24" s="2">
        <v>0.106</v>
      </c>
      <c r="O24">
        <v>8568517.0409999993</v>
      </c>
      <c r="P24" s="8"/>
      <c r="Q24" s="9"/>
      <c r="R24">
        <v>512</v>
      </c>
      <c r="S24">
        <v>2.41</v>
      </c>
      <c r="T24" s="2">
        <v>0.88419999999999999</v>
      </c>
      <c r="U24" s="2">
        <v>1.04E-2</v>
      </c>
      <c r="V24" s="2">
        <v>0.1053</v>
      </c>
      <c r="W24">
        <v>8643223.8259999994</v>
      </c>
      <c r="X24" s="8"/>
      <c r="Y24" s="9"/>
      <c r="Z24">
        <v>512</v>
      </c>
      <c r="AA24">
        <v>2.38</v>
      </c>
      <c r="AB24" s="2">
        <v>0.8831</v>
      </c>
      <c r="AC24" s="2">
        <v>1.0800000000000001E-2</v>
      </c>
      <c r="AD24" s="2">
        <v>0.1061</v>
      </c>
      <c r="AE24">
        <v>8759903.8949999996</v>
      </c>
      <c r="AF24" s="8"/>
      <c r="AG24" s="9"/>
      <c r="AH24">
        <v>512</v>
      </c>
      <c r="AI24">
        <v>2.5299999999999998</v>
      </c>
      <c r="AJ24" s="2">
        <v>0.88280000000000003</v>
      </c>
      <c r="AK24" s="2">
        <v>1.3599999999999999E-2</v>
      </c>
      <c r="AL24" s="2">
        <v>0.1036</v>
      </c>
      <c r="AM24">
        <v>8193373.6749999998</v>
      </c>
      <c r="AN24" s="8"/>
    </row>
    <row r="25" spans="1:41" x14ac:dyDescent="0.2">
      <c r="A25" s="9"/>
      <c r="B25">
        <v>512</v>
      </c>
      <c r="C25">
        <v>2.46</v>
      </c>
      <c r="D25" s="2">
        <v>0.88149999999999995</v>
      </c>
      <c r="E25" s="2">
        <v>1.21E-2</v>
      </c>
      <c r="F25" s="2">
        <v>0.10639999999999999</v>
      </c>
      <c r="G25">
        <v>8466123.5820000004</v>
      </c>
      <c r="H25" s="8"/>
      <c r="I25" s="9"/>
      <c r="J25">
        <v>1024</v>
      </c>
      <c r="K25">
        <v>5.05</v>
      </c>
      <c r="L25" s="2">
        <v>0.87970000000000004</v>
      </c>
      <c r="M25" s="2">
        <v>1.37E-2</v>
      </c>
      <c r="N25" s="2">
        <v>0.1065</v>
      </c>
      <c r="O25">
        <v>8245692.2470000004</v>
      </c>
      <c r="P25" s="8"/>
      <c r="Q25" s="9"/>
      <c r="R25">
        <v>1024</v>
      </c>
      <c r="S25">
        <v>5.04</v>
      </c>
      <c r="T25" s="2">
        <v>0.8841</v>
      </c>
      <c r="U25" s="2">
        <v>1.0500000000000001E-2</v>
      </c>
      <c r="V25" s="2">
        <v>0.1055</v>
      </c>
      <c r="W25">
        <v>8265335.0719999997</v>
      </c>
      <c r="X25" s="8"/>
      <c r="Y25" s="9"/>
      <c r="Z25">
        <v>1024</v>
      </c>
      <c r="AA25">
        <v>4.95</v>
      </c>
      <c r="AB25" s="2">
        <v>0.88160000000000005</v>
      </c>
      <c r="AC25" s="2">
        <v>1.1900000000000001E-2</v>
      </c>
      <c r="AD25" s="2">
        <v>0.1065</v>
      </c>
      <c r="AE25">
        <v>8412846</v>
      </c>
      <c r="AF25" s="8"/>
      <c r="AG25" s="9"/>
      <c r="AH25">
        <v>1024</v>
      </c>
      <c r="AI25">
        <v>5.25</v>
      </c>
      <c r="AJ25" s="2">
        <v>0.88190000000000002</v>
      </c>
      <c r="AK25" s="2">
        <v>1.32E-2</v>
      </c>
      <c r="AL25" s="2">
        <v>0.1048</v>
      </c>
      <c r="AM25">
        <v>7924318.4409999996</v>
      </c>
      <c r="AN25" s="8"/>
    </row>
    <row r="26" spans="1:41" x14ac:dyDescent="0.2">
      <c r="A26" s="9"/>
      <c r="B26">
        <v>1024</v>
      </c>
      <c r="C26">
        <v>5.15</v>
      </c>
      <c r="D26" s="2">
        <v>0.8831</v>
      </c>
      <c r="E26" s="2">
        <v>1.1599999999999999E-2</v>
      </c>
      <c r="F26" s="2">
        <v>0.1052</v>
      </c>
      <c r="G26">
        <v>8082618.7829999998</v>
      </c>
      <c r="H26" s="8"/>
      <c r="I26" s="9"/>
      <c r="J26">
        <v>2048</v>
      </c>
      <c r="K26">
        <v>10.51</v>
      </c>
      <c r="L26" s="2">
        <v>0.88190000000000002</v>
      </c>
      <c r="M26" s="2">
        <v>1.2E-2</v>
      </c>
      <c r="N26" s="2">
        <v>0.1061</v>
      </c>
      <c r="O26">
        <v>7926116.7139999997</v>
      </c>
      <c r="P26" s="8" t="s">
        <v>24</v>
      </c>
      <c r="Q26" s="9"/>
      <c r="R26">
        <v>2048</v>
      </c>
      <c r="S26">
        <v>10.55</v>
      </c>
      <c r="T26" s="2">
        <v>0.88349999999999995</v>
      </c>
      <c r="U26" s="2">
        <v>1.0999999999999999E-2</v>
      </c>
      <c r="V26" s="2">
        <v>0.1055</v>
      </c>
      <c r="W26">
        <v>7893508.9979999997</v>
      </c>
      <c r="X26" s="8" t="s">
        <v>23</v>
      </c>
      <c r="Y26" s="9"/>
      <c r="Z26">
        <v>2048</v>
      </c>
      <c r="AA26">
        <v>10.51</v>
      </c>
      <c r="AB26" s="2">
        <v>0.88160000000000005</v>
      </c>
      <c r="AC26" s="2">
        <v>1.26E-2</v>
      </c>
      <c r="AD26" s="2">
        <v>0.10580000000000001</v>
      </c>
      <c r="AE26">
        <v>7925257.9620000003</v>
      </c>
      <c r="AF26" s="8" t="s">
        <v>7</v>
      </c>
      <c r="AG26" s="9"/>
      <c r="AH26">
        <v>2048</v>
      </c>
      <c r="AI26">
        <v>10.75</v>
      </c>
      <c r="AJ26" s="2">
        <v>0.88239999999999996</v>
      </c>
      <c r="AK26" s="2">
        <v>1.2E-2</v>
      </c>
      <c r="AL26" s="2">
        <v>0.1056</v>
      </c>
      <c r="AM26">
        <v>7743509.3949999996</v>
      </c>
      <c r="AN26" s="8" t="s">
        <v>23</v>
      </c>
    </row>
    <row r="27" spans="1:41" ht="17" thickBot="1" x14ac:dyDescent="0.25">
      <c r="A27" s="10"/>
      <c r="B27" s="11">
        <v>2048</v>
      </c>
      <c r="C27" s="11">
        <v>10.62</v>
      </c>
      <c r="D27" s="12">
        <v>0.88270000000000004</v>
      </c>
      <c r="E27" s="12">
        <v>1.1599999999999999E-2</v>
      </c>
      <c r="F27" s="12">
        <v>0.1056</v>
      </c>
      <c r="G27" s="11">
        <v>7842853.2560000001</v>
      </c>
      <c r="H27" s="13" t="s">
        <v>13</v>
      </c>
      <c r="I27" s="10"/>
      <c r="J27" s="11"/>
      <c r="K27" s="11"/>
      <c r="L27" s="12"/>
      <c r="M27" s="12"/>
      <c r="N27" s="12"/>
      <c r="O27" s="11"/>
      <c r="P27" s="13"/>
      <c r="Q27" s="10"/>
      <c r="R27" s="11"/>
      <c r="S27" s="11"/>
      <c r="T27" s="12"/>
      <c r="U27" s="12"/>
      <c r="V27" s="12"/>
      <c r="W27" s="11"/>
      <c r="X27" s="13"/>
      <c r="Y27" s="10"/>
      <c r="Z27" s="11"/>
      <c r="AA27" s="11"/>
      <c r="AB27" s="12"/>
      <c r="AC27" s="12"/>
      <c r="AD27" s="12"/>
      <c r="AE27" s="11"/>
      <c r="AF27" s="13"/>
      <c r="AG27" s="10"/>
      <c r="AH27" s="11"/>
      <c r="AI27" s="11"/>
      <c r="AJ27" s="12"/>
      <c r="AK27" s="12"/>
      <c r="AL27" s="12"/>
      <c r="AM27" s="11"/>
      <c r="AN27" s="13"/>
    </row>
    <row r="29" spans="1:41" ht="17" thickBot="1" x14ac:dyDescent="0.25"/>
    <row r="30" spans="1:41" ht="17" thickBot="1" x14ac:dyDescent="0.25">
      <c r="A30" s="3" t="s">
        <v>62</v>
      </c>
      <c r="B30" s="4" t="s">
        <v>6</v>
      </c>
      <c r="C30" s="4" t="s">
        <v>5</v>
      </c>
      <c r="D30" s="19" t="s">
        <v>4</v>
      </c>
      <c r="E30" s="19" t="s">
        <v>3</v>
      </c>
      <c r="F30" s="19" t="s">
        <v>2</v>
      </c>
      <c r="G30" s="4" t="s">
        <v>1</v>
      </c>
      <c r="H30" s="6" t="s">
        <v>48</v>
      </c>
      <c r="I30" s="3" t="s">
        <v>62</v>
      </c>
      <c r="J30" s="4" t="s">
        <v>6</v>
      </c>
      <c r="K30" s="4" t="s">
        <v>5</v>
      </c>
      <c r="L30" s="19" t="s">
        <v>4</v>
      </c>
      <c r="M30" s="19" t="s">
        <v>3</v>
      </c>
      <c r="N30" s="19" t="s">
        <v>2</v>
      </c>
      <c r="O30" s="4" t="s">
        <v>1</v>
      </c>
      <c r="P30" s="6" t="s">
        <v>48</v>
      </c>
      <c r="Q30" s="3" t="s">
        <v>62</v>
      </c>
      <c r="R30" s="4" t="s">
        <v>6</v>
      </c>
      <c r="S30" s="4" t="s">
        <v>5</v>
      </c>
      <c r="T30" s="19" t="s">
        <v>4</v>
      </c>
      <c r="U30" s="19" t="s">
        <v>3</v>
      </c>
      <c r="V30" s="19" t="s">
        <v>2</v>
      </c>
      <c r="W30" s="4" t="s">
        <v>1</v>
      </c>
      <c r="X30" s="6" t="s">
        <v>48</v>
      </c>
      <c r="Y30" s="27" t="s">
        <v>62</v>
      </c>
      <c r="Z30" s="25" t="s">
        <v>6</v>
      </c>
      <c r="AA30" s="25" t="s">
        <v>5</v>
      </c>
      <c r="AB30" s="33" t="s">
        <v>4</v>
      </c>
      <c r="AC30" s="33" t="s">
        <v>3</v>
      </c>
      <c r="AD30" s="33" t="s">
        <v>2</v>
      </c>
      <c r="AE30" s="25" t="s">
        <v>1</v>
      </c>
      <c r="AF30" s="26" t="s">
        <v>48</v>
      </c>
      <c r="AG30" s="27" t="s">
        <v>62</v>
      </c>
      <c r="AH30" s="25" t="s">
        <v>6</v>
      </c>
      <c r="AI30" s="25" t="s">
        <v>5</v>
      </c>
      <c r="AJ30" s="33" t="s">
        <v>4</v>
      </c>
      <c r="AK30" s="33" t="s">
        <v>3</v>
      </c>
      <c r="AL30" s="33" t="s">
        <v>2</v>
      </c>
      <c r="AM30" s="25" t="s">
        <v>1</v>
      </c>
      <c r="AN30" s="26" t="s">
        <v>48</v>
      </c>
      <c r="AO30" t="s">
        <v>46</v>
      </c>
    </row>
    <row r="31" spans="1:41" x14ac:dyDescent="0.2">
      <c r="A31" s="28" t="s">
        <v>38</v>
      </c>
      <c r="B31" s="29">
        <v>4096</v>
      </c>
      <c r="C31" s="29">
        <v>20.8</v>
      </c>
      <c r="D31" s="30">
        <v>0.88090000000000002</v>
      </c>
      <c r="E31" s="30">
        <v>1.2999999999999999E-2</v>
      </c>
      <c r="F31" s="30">
        <v>0.106</v>
      </c>
      <c r="G31" s="29">
        <v>8010220.4280000003</v>
      </c>
      <c r="H31" s="31">
        <v>65</v>
      </c>
      <c r="I31" s="28" t="s">
        <v>63</v>
      </c>
      <c r="J31" s="29">
        <v>2048</v>
      </c>
      <c r="K31" s="29">
        <v>10.19</v>
      </c>
      <c r="L31" s="30">
        <v>0.88380000000000003</v>
      </c>
      <c r="M31" s="30">
        <v>1.09E-2</v>
      </c>
      <c r="N31" s="30">
        <v>0.10539999999999999</v>
      </c>
      <c r="O31" s="29">
        <v>8164258.5860000001</v>
      </c>
      <c r="P31" s="31">
        <v>25</v>
      </c>
      <c r="Q31" s="28" t="s">
        <v>64</v>
      </c>
      <c r="R31" s="29">
        <v>2048</v>
      </c>
      <c r="S31" s="29">
        <v>10.39</v>
      </c>
      <c r="T31" s="30">
        <v>0.88219999999999998</v>
      </c>
      <c r="U31" s="30">
        <v>1.2E-2</v>
      </c>
      <c r="V31" s="30">
        <v>0.10580000000000001</v>
      </c>
      <c r="W31" s="29">
        <v>8012912.7230000002</v>
      </c>
      <c r="X31" s="31">
        <v>27</v>
      </c>
      <c r="Y31" s="28" t="s">
        <v>65</v>
      </c>
      <c r="Z31" s="29">
        <v>2048</v>
      </c>
      <c r="AA31" s="29">
        <v>10.52</v>
      </c>
      <c r="AB31" s="30">
        <v>0.88329999999999997</v>
      </c>
      <c r="AC31" s="30">
        <v>1.15E-2</v>
      </c>
      <c r="AD31" s="30">
        <v>0.1052</v>
      </c>
      <c r="AE31" s="29">
        <v>7909261.7300000004</v>
      </c>
      <c r="AF31" s="31">
        <v>32</v>
      </c>
      <c r="AG31" s="28" t="s">
        <v>66</v>
      </c>
      <c r="AH31" s="29">
        <v>2048</v>
      </c>
      <c r="AI31" s="29">
        <v>10.47</v>
      </c>
      <c r="AJ31" s="30">
        <v>0.88100000000000001</v>
      </c>
      <c r="AK31" s="30">
        <v>1.2800000000000001E-2</v>
      </c>
      <c r="AL31" s="30">
        <v>0.10630000000000001</v>
      </c>
      <c r="AM31" s="29">
        <v>7954647.835</v>
      </c>
      <c r="AN31" s="31">
        <v>28</v>
      </c>
    </row>
    <row r="32" spans="1:41" x14ac:dyDescent="0.2">
      <c r="A32" s="9"/>
      <c r="B32">
        <v>2048</v>
      </c>
      <c r="C32">
        <v>10.72</v>
      </c>
      <c r="D32" s="2">
        <v>0.88249999999999995</v>
      </c>
      <c r="E32" s="2">
        <v>1.2999999999999999E-2</v>
      </c>
      <c r="F32" s="2">
        <v>0.1045</v>
      </c>
      <c r="G32">
        <v>7757462.6169999996</v>
      </c>
      <c r="H32" s="8">
        <v>31</v>
      </c>
      <c r="I32" s="9"/>
      <c r="J32">
        <v>2048</v>
      </c>
      <c r="K32">
        <v>10.6</v>
      </c>
      <c r="L32" s="2">
        <v>0.88090000000000002</v>
      </c>
      <c r="M32" s="2">
        <v>1.37E-2</v>
      </c>
      <c r="N32" s="2">
        <v>0.1053</v>
      </c>
      <c r="O32">
        <v>7853778.6220000004</v>
      </c>
      <c r="P32" s="8">
        <v>29</v>
      </c>
      <c r="Q32" s="9"/>
      <c r="R32">
        <v>2048</v>
      </c>
      <c r="S32">
        <v>10.65</v>
      </c>
      <c r="T32" s="2">
        <v>0.88319999999999999</v>
      </c>
      <c r="U32" s="2">
        <v>1.2E-2</v>
      </c>
      <c r="V32" s="2">
        <v>0.1048</v>
      </c>
      <c r="W32">
        <v>7813147.443</v>
      </c>
      <c r="X32" s="8">
        <v>29</v>
      </c>
      <c r="Y32" s="9"/>
      <c r="Z32">
        <v>2048</v>
      </c>
      <c r="AA32">
        <v>10.41</v>
      </c>
      <c r="AB32" s="2">
        <v>0.88190000000000002</v>
      </c>
      <c r="AC32" s="2">
        <v>1.24E-2</v>
      </c>
      <c r="AD32" s="2">
        <v>0.1057</v>
      </c>
      <c r="AE32">
        <v>7999815.2199999997</v>
      </c>
      <c r="AF32" s="8">
        <v>30</v>
      </c>
      <c r="AG32" s="9"/>
      <c r="AH32">
        <v>2048</v>
      </c>
      <c r="AI32">
        <v>10.54</v>
      </c>
      <c r="AJ32" s="2">
        <v>0.88180000000000003</v>
      </c>
      <c r="AK32" s="2">
        <v>1.3599999999999999E-2</v>
      </c>
      <c r="AL32" s="2">
        <v>0.1046</v>
      </c>
      <c r="AM32">
        <v>7888425.7800000003</v>
      </c>
      <c r="AN32" s="8">
        <v>39</v>
      </c>
    </row>
    <row r="33" spans="1:41" x14ac:dyDescent="0.2">
      <c r="A33" s="9"/>
      <c r="B33">
        <v>2048</v>
      </c>
      <c r="C33">
        <v>10.37</v>
      </c>
      <c r="D33" s="2">
        <v>0.88349999999999995</v>
      </c>
      <c r="E33" s="2">
        <v>1.12E-2</v>
      </c>
      <c r="F33" s="2">
        <v>0.1053</v>
      </c>
      <c r="G33">
        <v>8029166.9050000003</v>
      </c>
      <c r="H33" s="8">
        <v>25</v>
      </c>
      <c r="I33" s="9"/>
      <c r="J33">
        <v>2048</v>
      </c>
      <c r="K33">
        <v>10.34</v>
      </c>
      <c r="L33" s="2">
        <v>0.88039999999999996</v>
      </c>
      <c r="M33" s="2">
        <v>1.3599999999999999E-2</v>
      </c>
      <c r="N33" s="2">
        <v>0.106</v>
      </c>
      <c r="O33">
        <v>8057894.9979999997</v>
      </c>
      <c r="P33" s="8">
        <v>33</v>
      </c>
      <c r="Q33" s="9"/>
      <c r="R33">
        <v>2048</v>
      </c>
      <c r="S33">
        <v>10.56</v>
      </c>
      <c r="T33" s="2">
        <v>0.88329999999999997</v>
      </c>
      <c r="U33" s="2">
        <v>1.14E-2</v>
      </c>
      <c r="V33" s="2">
        <v>0.1053</v>
      </c>
      <c r="W33">
        <v>7884122.835</v>
      </c>
      <c r="X33" s="8">
        <v>37</v>
      </c>
      <c r="Y33" s="9"/>
      <c r="Z33">
        <v>2048</v>
      </c>
      <c r="AA33">
        <v>10.45</v>
      </c>
      <c r="AB33" s="2">
        <v>0.88329999999999997</v>
      </c>
      <c r="AC33" s="2">
        <v>1.15E-2</v>
      </c>
      <c r="AD33" s="2">
        <v>0.1052</v>
      </c>
      <c r="AE33">
        <v>7966921.7520000003</v>
      </c>
      <c r="AF33" s="8">
        <v>25</v>
      </c>
      <c r="AG33" s="9"/>
      <c r="AH33">
        <v>2048</v>
      </c>
      <c r="AI33">
        <v>10.55</v>
      </c>
      <c r="AJ33" s="2">
        <v>0.88229999999999997</v>
      </c>
      <c r="AK33" s="2">
        <v>1.24E-2</v>
      </c>
      <c r="AL33" s="2">
        <v>0.1053</v>
      </c>
      <c r="AM33">
        <v>7889839.125</v>
      </c>
      <c r="AN33" s="8">
        <v>28</v>
      </c>
    </row>
    <row r="34" spans="1:41" x14ac:dyDescent="0.2">
      <c r="A34" s="9"/>
      <c r="B34">
        <v>2048</v>
      </c>
      <c r="C34">
        <v>10.44</v>
      </c>
      <c r="D34" s="2">
        <v>0.88270000000000004</v>
      </c>
      <c r="E34" s="2">
        <v>1.1599999999999999E-2</v>
      </c>
      <c r="F34" s="2">
        <v>0.1057</v>
      </c>
      <c r="G34">
        <v>7974250.3310000002</v>
      </c>
      <c r="H34" s="8">
        <v>28</v>
      </c>
      <c r="I34" s="9"/>
      <c r="J34">
        <v>2048</v>
      </c>
      <c r="K34">
        <v>10.61</v>
      </c>
      <c r="L34" s="2">
        <v>0.88280000000000003</v>
      </c>
      <c r="M34" s="2">
        <v>1.23E-2</v>
      </c>
      <c r="N34" s="2">
        <v>0.10489999999999999</v>
      </c>
      <c r="O34">
        <v>7842523.6849999996</v>
      </c>
      <c r="P34" s="8">
        <v>29</v>
      </c>
      <c r="Q34" s="9"/>
      <c r="R34">
        <v>2048</v>
      </c>
      <c r="S34">
        <v>10.35</v>
      </c>
      <c r="T34" s="2">
        <v>0.88070000000000004</v>
      </c>
      <c r="U34" s="2">
        <v>1.17E-2</v>
      </c>
      <c r="V34" s="2">
        <v>0.1076</v>
      </c>
      <c r="W34">
        <v>8061858.1950000003</v>
      </c>
      <c r="X34" s="8">
        <v>30</v>
      </c>
      <c r="Y34" s="9"/>
      <c r="Z34">
        <v>2048</v>
      </c>
      <c r="AA34">
        <v>10.74</v>
      </c>
      <c r="AB34" s="2">
        <v>0.88180000000000003</v>
      </c>
      <c r="AC34" s="2">
        <v>1.38E-2</v>
      </c>
      <c r="AD34" s="2">
        <v>0.10440000000000001</v>
      </c>
      <c r="AE34">
        <v>7740575.4309999999</v>
      </c>
      <c r="AF34" s="8">
        <v>40</v>
      </c>
      <c r="AG34" s="9"/>
      <c r="AH34">
        <v>2048</v>
      </c>
      <c r="AI34">
        <v>10.7</v>
      </c>
      <c r="AJ34" s="2">
        <v>0.88100000000000001</v>
      </c>
      <c r="AK34" s="2">
        <v>1.41E-2</v>
      </c>
      <c r="AL34" s="2">
        <v>0.105</v>
      </c>
      <c r="AM34">
        <v>7775698.9979999997</v>
      </c>
      <c r="AN34" s="8">
        <v>40</v>
      </c>
    </row>
    <row r="35" spans="1:41" ht="17" thickBot="1" x14ac:dyDescent="0.25">
      <c r="A35" s="10"/>
      <c r="B35" s="11">
        <v>2048</v>
      </c>
      <c r="C35" s="11">
        <v>10.62</v>
      </c>
      <c r="D35" s="12">
        <v>0.88270000000000004</v>
      </c>
      <c r="E35" s="12">
        <v>1.1599999999999999E-2</v>
      </c>
      <c r="F35" s="12">
        <v>0.1056</v>
      </c>
      <c r="G35" s="11">
        <v>7842853.2560000001</v>
      </c>
      <c r="H35" s="13">
        <v>26</v>
      </c>
      <c r="I35" s="10"/>
      <c r="J35" s="11">
        <v>2048</v>
      </c>
      <c r="K35" s="11">
        <v>10.51</v>
      </c>
      <c r="L35" s="12">
        <v>0.88190000000000002</v>
      </c>
      <c r="M35" s="12">
        <v>1.2E-2</v>
      </c>
      <c r="N35" s="12">
        <v>0.1061</v>
      </c>
      <c r="O35" s="11">
        <v>7926116.7139999997</v>
      </c>
      <c r="P35" s="13">
        <v>36</v>
      </c>
      <c r="Q35" s="10"/>
      <c r="R35" s="11">
        <v>2048</v>
      </c>
      <c r="S35" s="11">
        <v>10.55</v>
      </c>
      <c r="T35" s="12">
        <v>0.88349999999999995</v>
      </c>
      <c r="U35" s="12">
        <v>1.0999999999999999E-2</v>
      </c>
      <c r="V35" s="12">
        <v>0.1055</v>
      </c>
      <c r="W35" s="11">
        <v>7893508.9979999997</v>
      </c>
      <c r="X35" s="13">
        <v>32</v>
      </c>
      <c r="Y35" s="10"/>
      <c r="Z35" s="11">
        <v>2048</v>
      </c>
      <c r="AA35" s="11">
        <v>10.51</v>
      </c>
      <c r="AB35" s="12">
        <v>0.88160000000000005</v>
      </c>
      <c r="AC35" s="12">
        <v>1.26E-2</v>
      </c>
      <c r="AD35" s="12">
        <v>0.10580000000000001</v>
      </c>
      <c r="AE35" s="11">
        <v>7925257.9620000003</v>
      </c>
      <c r="AF35" s="13">
        <v>31</v>
      </c>
      <c r="AG35" s="10"/>
      <c r="AH35" s="11">
        <v>2048</v>
      </c>
      <c r="AI35" s="11">
        <v>10.75</v>
      </c>
      <c r="AJ35" s="12">
        <v>0.88239999999999996</v>
      </c>
      <c r="AK35" s="12">
        <v>1.2E-2</v>
      </c>
      <c r="AL35" s="12">
        <v>0.1056</v>
      </c>
      <c r="AM35" s="11">
        <v>7743509.3949999996</v>
      </c>
      <c r="AN35" s="13">
        <v>32</v>
      </c>
    </row>
    <row r="36" spans="1:41" x14ac:dyDescent="0.2">
      <c r="A36" s="16" t="s">
        <v>47</v>
      </c>
      <c r="B36" s="17">
        <f>AVERAGE(B31:B35)</f>
        <v>2457.6</v>
      </c>
      <c r="C36" s="17">
        <f t="shared" ref="C36:AN36" si="0">AVERAGE(C31:C35)</f>
        <v>12.59</v>
      </c>
      <c r="D36" s="18">
        <f t="shared" si="0"/>
        <v>0.8824599999999998</v>
      </c>
      <c r="E36" s="18">
        <f t="shared" si="0"/>
        <v>1.2079999999999999E-2</v>
      </c>
      <c r="F36" s="18">
        <f t="shared" si="0"/>
        <v>0.10542</v>
      </c>
      <c r="G36" s="17">
        <f t="shared" si="0"/>
        <v>7922790.7073999997</v>
      </c>
      <c r="H36" s="17">
        <f t="shared" si="0"/>
        <v>35</v>
      </c>
      <c r="I36" s="17"/>
      <c r="J36" s="17">
        <f t="shared" si="0"/>
        <v>2048</v>
      </c>
      <c r="K36" s="17">
        <f t="shared" si="0"/>
        <v>10.45</v>
      </c>
      <c r="L36" s="18">
        <f t="shared" si="0"/>
        <v>0.88195999999999997</v>
      </c>
      <c r="M36" s="18">
        <f t="shared" si="0"/>
        <v>1.2500000000000001E-2</v>
      </c>
      <c r="N36" s="18">
        <f t="shared" si="0"/>
        <v>0.10553999999999999</v>
      </c>
      <c r="O36" s="17">
        <f t="shared" si="0"/>
        <v>7968914.5209999997</v>
      </c>
      <c r="P36" s="17">
        <f t="shared" si="0"/>
        <v>30.4</v>
      </c>
      <c r="Q36" s="17"/>
      <c r="R36" s="17">
        <f t="shared" si="0"/>
        <v>2048</v>
      </c>
      <c r="S36" s="17">
        <f t="shared" si="0"/>
        <v>10.5</v>
      </c>
      <c r="T36" s="18">
        <f t="shared" si="0"/>
        <v>0.88257999999999992</v>
      </c>
      <c r="U36" s="18">
        <f t="shared" si="0"/>
        <v>1.162E-2</v>
      </c>
      <c r="V36" s="18">
        <f t="shared" si="0"/>
        <v>0.10580000000000001</v>
      </c>
      <c r="W36" s="17">
        <f t="shared" si="0"/>
        <v>7933110.0388000011</v>
      </c>
      <c r="X36" s="17">
        <f t="shared" si="0"/>
        <v>31</v>
      </c>
      <c r="Y36" s="17"/>
      <c r="Z36" s="17">
        <f t="shared" si="0"/>
        <v>2048</v>
      </c>
      <c r="AA36" s="17">
        <f t="shared" si="0"/>
        <v>10.526</v>
      </c>
      <c r="AB36" s="18">
        <f t="shared" si="0"/>
        <v>0.88238000000000005</v>
      </c>
      <c r="AC36" s="18">
        <f t="shared" si="0"/>
        <v>1.2359999999999999E-2</v>
      </c>
      <c r="AD36" s="18">
        <f t="shared" si="0"/>
        <v>0.10525999999999999</v>
      </c>
      <c r="AE36" s="17">
        <f t="shared" si="0"/>
        <v>7908366.4189999998</v>
      </c>
      <c r="AF36" s="17">
        <f t="shared" si="0"/>
        <v>31.6</v>
      </c>
      <c r="AG36" s="17"/>
      <c r="AH36" s="17">
        <f t="shared" si="0"/>
        <v>2048</v>
      </c>
      <c r="AI36" s="17">
        <f t="shared" si="0"/>
        <v>10.602</v>
      </c>
      <c r="AJ36" s="18">
        <f t="shared" si="0"/>
        <v>0.88169999999999982</v>
      </c>
      <c r="AK36" s="18">
        <f t="shared" si="0"/>
        <v>1.298E-2</v>
      </c>
      <c r="AL36" s="18">
        <f t="shared" si="0"/>
        <v>0.10536000000000001</v>
      </c>
      <c r="AM36" s="17">
        <f t="shared" si="0"/>
        <v>7850424.2266000006</v>
      </c>
      <c r="AN36" s="17">
        <f t="shared" si="0"/>
        <v>33.4</v>
      </c>
    </row>
    <row r="37" spans="1:41" x14ac:dyDescent="0.2">
      <c r="A37" s="20" t="s">
        <v>49</v>
      </c>
      <c r="B37" s="21">
        <f>STDEV(B31:B35)</f>
        <v>915.89344358391372</v>
      </c>
      <c r="C37" s="21">
        <f t="shared" ref="C37:AN37" si="1">STDEV(C31:C35)</f>
        <v>4.591644585548849</v>
      </c>
      <c r="D37" s="22">
        <f t="shared" si="1"/>
        <v>9.5289033996571234E-4</v>
      </c>
      <c r="E37" s="22">
        <f t="shared" si="1"/>
        <v>8.5556998544829743E-4</v>
      </c>
      <c r="F37" s="22">
        <f t="shared" si="1"/>
        <v>5.7183913821983292E-4</v>
      </c>
      <c r="G37" s="21">
        <f t="shared" si="1"/>
        <v>117613.04979967166</v>
      </c>
      <c r="H37" s="21">
        <f t="shared" si="1"/>
        <v>16.926310879810757</v>
      </c>
      <c r="I37" s="21"/>
      <c r="J37" s="21">
        <f t="shared" si="1"/>
        <v>0</v>
      </c>
      <c r="K37" s="21">
        <f t="shared" si="1"/>
        <v>0.18124568960391854</v>
      </c>
      <c r="L37" s="22">
        <f t="shared" si="1"/>
        <v>1.3831124321616306E-3</v>
      </c>
      <c r="M37" s="22">
        <f t="shared" si="1"/>
        <v>1.1726039399558572E-3</v>
      </c>
      <c r="N37" s="22">
        <f t="shared" si="1"/>
        <v>5.0299105359837297E-4</v>
      </c>
      <c r="O37" s="21">
        <f t="shared" si="1"/>
        <v>138869.90311546822</v>
      </c>
      <c r="P37" s="21">
        <f t="shared" si="1"/>
        <v>4.2190046219457917</v>
      </c>
      <c r="Q37" s="21"/>
      <c r="R37" s="21">
        <f t="shared" si="1"/>
        <v>0</v>
      </c>
      <c r="S37" s="21">
        <f t="shared" si="1"/>
        <v>0.12569805089976557</v>
      </c>
      <c r="T37" s="22">
        <f t="shared" si="1"/>
        <v>1.1649034294738474E-3</v>
      </c>
      <c r="U37" s="22">
        <f t="shared" si="1"/>
        <v>4.2661458015403117E-4</v>
      </c>
      <c r="V37" s="22">
        <f t="shared" si="1"/>
        <v>1.0700467279516341E-3</v>
      </c>
      <c r="W37" s="21">
        <f t="shared" si="1"/>
        <v>101616.39765569931</v>
      </c>
      <c r="X37" s="21">
        <f t="shared" si="1"/>
        <v>3.8078865529319543</v>
      </c>
      <c r="Y37" s="21"/>
      <c r="Z37" s="21">
        <f t="shared" si="1"/>
        <v>0</v>
      </c>
      <c r="AA37" s="21">
        <f t="shared" si="1"/>
        <v>0.1277888884058393</v>
      </c>
      <c r="AB37" s="22">
        <f t="shared" si="1"/>
        <v>8.4675852520062894E-4</v>
      </c>
      <c r="AC37" s="22">
        <f t="shared" si="1"/>
        <v>9.5026312145636809E-4</v>
      </c>
      <c r="AD37" s="22">
        <f t="shared" si="1"/>
        <v>5.5497747702046329E-4</v>
      </c>
      <c r="AE37" s="21">
        <f t="shared" si="1"/>
        <v>100289.02194133993</v>
      </c>
      <c r="AF37" s="21">
        <f t="shared" si="1"/>
        <v>5.4129474410897389</v>
      </c>
      <c r="AG37" s="21"/>
      <c r="AH37" s="21">
        <f t="shared" si="1"/>
        <v>0</v>
      </c>
      <c r="AI37" s="21">
        <f t="shared" si="1"/>
        <v>0.117770964163498</v>
      </c>
      <c r="AJ37" s="22">
        <f t="shared" si="1"/>
        <v>6.7823299831250945E-4</v>
      </c>
      <c r="AK37" s="22">
        <f t="shared" si="1"/>
        <v>8.6139421869432093E-4</v>
      </c>
      <c r="AL37" s="22">
        <f t="shared" si="1"/>
        <v>6.4265076052238794E-4</v>
      </c>
      <c r="AM37" s="21">
        <f t="shared" si="1"/>
        <v>87856.208986603073</v>
      </c>
      <c r="AN37" s="21">
        <f t="shared" si="1"/>
        <v>5.8137767414994492</v>
      </c>
    </row>
    <row r="39" spans="1:41" ht="17" thickBot="1" x14ac:dyDescent="0.25"/>
    <row r="40" spans="1:41" ht="17" thickBot="1" x14ac:dyDescent="0.25">
      <c r="A40" s="3" t="s">
        <v>62</v>
      </c>
      <c r="B40" s="4" t="s">
        <v>6</v>
      </c>
      <c r="C40" s="4" t="s">
        <v>5</v>
      </c>
      <c r="D40" s="19" t="s">
        <v>4</v>
      </c>
      <c r="E40" s="19" t="s">
        <v>3</v>
      </c>
      <c r="F40" s="19" t="s">
        <v>2</v>
      </c>
      <c r="G40" s="4" t="s">
        <v>1</v>
      </c>
      <c r="H40" s="6" t="s">
        <v>48</v>
      </c>
      <c r="I40" s="3" t="s">
        <v>62</v>
      </c>
      <c r="J40" s="4" t="s">
        <v>6</v>
      </c>
      <c r="K40" s="4" t="s">
        <v>5</v>
      </c>
      <c r="L40" s="19" t="s">
        <v>4</v>
      </c>
      <c r="M40" s="19" t="s">
        <v>3</v>
      </c>
      <c r="N40" s="19" t="s">
        <v>2</v>
      </c>
      <c r="O40" s="4" t="s">
        <v>1</v>
      </c>
      <c r="P40" s="6" t="s">
        <v>48</v>
      </c>
      <c r="Q40" s="3" t="s">
        <v>62</v>
      </c>
      <c r="R40" s="4" t="s">
        <v>6</v>
      </c>
      <c r="S40" s="4" t="s">
        <v>5</v>
      </c>
      <c r="T40" s="19" t="s">
        <v>4</v>
      </c>
      <c r="U40" s="19" t="s">
        <v>3</v>
      </c>
      <c r="V40" s="19" t="s">
        <v>2</v>
      </c>
      <c r="W40" s="4" t="s">
        <v>1</v>
      </c>
      <c r="X40" s="6" t="s">
        <v>48</v>
      </c>
      <c r="Y40" s="27" t="s">
        <v>62</v>
      </c>
      <c r="Z40" s="25" t="s">
        <v>6</v>
      </c>
      <c r="AA40" s="25" t="s">
        <v>5</v>
      </c>
      <c r="AB40" s="33" t="s">
        <v>4</v>
      </c>
      <c r="AC40" s="33" t="s">
        <v>3</v>
      </c>
      <c r="AD40" s="33" t="s">
        <v>2</v>
      </c>
      <c r="AE40" s="25" t="s">
        <v>1</v>
      </c>
      <c r="AF40" s="26" t="s">
        <v>48</v>
      </c>
      <c r="AG40" s="27" t="s">
        <v>62</v>
      </c>
      <c r="AH40" s="25" t="s">
        <v>6</v>
      </c>
      <c r="AI40" s="25" t="s">
        <v>5</v>
      </c>
      <c r="AJ40" s="33" t="s">
        <v>4</v>
      </c>
      <c r="AK40" s="33" t="s">
        <v>3</v>
      </c>
      <c r="AL40" s="33" t="s">
        <v>2</v>
      </c>
      <c r="AM40" s="25" t="s">
        <v>1</v>
      </c>
      <c r="AN40" s="26" t="s">
        <v>48</v>
      </c>
      <c r="AO40" s="2" t="s">
        <v>50</v>
      </c>
    </row>
    <row r="41" spans="1:41" x14ac:dyDescent="0.2">
      <c r="A41" s="28" t="s">
        <v>38</v>
      </c>
      <c r="B41" s="29">
        <f>IF(ABS(B31-B$36) &lt;= 3*B$37,B31,"")</f>
        <v>4096</v>
      </c>
      <c r="C41" s="29">
        <f t="shared" ref="C41:AN45" si="2">IF(ABS(C31-C$36) &lt;= 3*C$37,C31,"")</f>
        <v>20.8</v>
      </c>
      <c r="D41" s="30">
        <f t="shared" si="2"/>
        <v>0.88090000000000002</v>
      </c>
      <c r="E41" s="30">
        <f t="shared" si="2"/>
        <v>1.2999999999999999E-2</v>
      </c>
      <c r="F41" s="30">
        <f t="shared" si="2"/>
        <v>0.106</v>
      </c>
      <c r="G41" s="29">
        <f t="shared" si="2"/>
        <v>8010220.4280000003</v>
      </c>
      <c r="H41" s="31">
        <f t="shared" si="2"/>
        <v>65</v>
      </c>
      <c r="I41" s="28" t="s">
        <v>63</v>
      </c>
      <c r="J41" s="29">
        <f t="shared" si="2"/>
        <v>2048</v>
      </c>
      <c r="K41" s="29">
        <f t="shared" si="2"/>
        <v>10.19</v>
      </c>
      <c r="L41" s="30">
        <f t="shared" si="2"/>
        <v>0.88380000000000003</v>
      </c>
      <c r="M41" s="30">
        <f t="shared" si="2"/>
        <v>1.09E-2</v>
      </c>
      <c r="N41" s="30">
        <f t="shared" si="2"/>
        <v>0.10539999999999999</v>
      </c>
      <c r="O41" s="29">
        <f t="shared" si="2"/>
        <v>8164258.5860000001</v>
      </c>
      <c r="P41" s="31">
        <f t="shared" si="2"/>
        <v>25</v>
      </c>
      <c r="Q41" s="28" t="s">
        <v>64</v>
      </c>
      <c r="R41" s="29">
        <f t="shared" si="2"/>
        <v>2048</v>
      </c>
      <c r="S41" s="29">
        <f t="shared" si="2"/>
        <v>10.39</v>
      </c>
      <c r="T41" s="30">
        <f t="shared" si="2"/>
        <v>0.88219999999999998</v>
      </c>
      <c r="U41" s="30">
        <f t="shared" si="2"/>
        <v>1.2E-2</v>
      </c>
      <c r="V41" s="30">
        <f t="shared" si="2"/>
        <v>0.10580000000000001</v>
      </c>
      <c r="W41" s="29">
        <f t="shared" si="2"/>
        <v>8012912.7230000002</v>
      </c>
      <c r="X41" s="31">
        <f t="shared" si="2"/>
        <v>27</v>
      </c>
      <c r="Y41" s="28" t="s">
        <v>65</v>
      </c>
      <c r="Z41" s="29">
        <f t="shared" si="2"/>
        <v>2048</v>
      </c>
      <c r="AA41" s="29">
        <f t="shared" si="2"/>
        <v>10.52</v>
      </c>
      <c r="AB41" s="30">
        <f t="shared" si="2"/>
        <v>0.88329999999999997</v>
      </c>
      <c r="AC41" s="30">
        <f t="shared" si="2"/>
        <v>1.15E-2</v>
      </c>
      <c r="AD41" s="30">
        <f t="shared" si="2"/>
        <v>0.1052</v>
      </c>
      <c r="AE41" s="29">
        <f t="shared" si="2"/>
        <v>7909261.7300000004</v>
      </c>
      <c r="AF41" s="31">
        <f t="shared" si="2"/>
        <v>32</v>
      </c>
      <c r="AG41" s="28" t="s">
        <v>66</v>
      </c>
      <c r="AH41" s="29">
        <f t="shared" si="2"/>
        <v>2048</v>
      </c>
      <c r="AI41" s="29">
        <f t="shared" si="2"/>
        <v>10.47</v>
      </c>
      <c r="AJ41" s="30">
        <f t="shared" si="2"/>
        <v>0.88100000000000001</v>
      </c>
      <c r="AK41" s="30">
        <f t="shared" si="2"/>
        <v>1.2800000000000001E-2</v>
      </c>
      <c r="AL41" s="30">
        <f t="shared" si="2"/>
        <v>0.10630000000000001</v>
      </c>
      <c r="AM41" s="29">
        <f t="shared" si="2"/>
        <v>7954647.835</v>
      </c>
      <c r="AN41" s="31">
        <f t="shared" si="2"/>
        <v>28</v>
      </c>
    </row>
    <row r="42" spans="1:41" x14ac:dyDescent="0.2">
      <c r="A42" s="9"/>
      <c r="B42">
        <f t="shared" ref="B42:P45" si="3">IF(ABS(B32-B$36) &lt;= 3*B$37,B32,"")</f>
        <v>2048</v>
      </c>
      <c r="C42">
        <f t="shared" si="3"/>
        <v>10.72</v>
      </c>
      <c r="D42" s="2">
        <f t="shared" si="3"/>
        <v>0.88249999999999995</v>
      </c>
      <c r="E42" s="2">
        <f t="shared" si="3"/>
        <v>1.2999999999999999E-2</v>
      </c>
      <c r="F42" s="2">
        <f t="shared" si="3"/>
        <v>0.1045</v>
      </c>
      <c r="G42">
        <f t="shared" si="3"/>
        <v>7757462.6169999996</v>
      </c>
      <c r="H42" s="8">
        <f t="shared" si="3"/>
        <v>31</v>
      </c>
      <c r="I42" s="9"/>
      <c r="J42">
        <f t="shared" si="3"/>
        <v>2048</v>
      </c>
      <c r="K42">
        <f t="shared" si="3"/>
        <v>10.6</v>
      </c>
      <c r="L42" s="2">
        <f t="shared" si="3"/>
        <v>0.88090000000000002</v>
      </c>
      <c r="M42" s="2">
        <f t="shared" si="3"/>
        <v>1.37E-2</v>
      </c>
      <c r="N42" s="2">
        <f t="shared" si="3"/>
        <v>0.1053</v>
      </c>
      <c r="O42">
        <f t="shared" si="3"/>
        <v>7853778.6220000004</v>
      </c>
      <c r="P42" s="8">
        <f t="shared" si="3"/>
        <v>29</v>
      </c>
      <c r="Q42" s="9"/>
      <c r="R42">
        <f t="shared" si="2"/>
        <v>2048</v>
      </c>
      <c r="S42">
        <f t="shared" si="2"/>
        <v>10.65</v>
      </c>
      <c r="T42" s="2">
        <f t="shared" si="2"/>
        <v>0.88319999999999999</v>
      </c>
      <c r="U42" s="2">
        <f t="shared" si="2"/>
        <v>1.2E-2</v>
      </c>
      <c r="V42" s="2">
        <f t="shared" si="2"/>
        <v>0.1048</v>
      </c>
      <c r="W42">
        <f t="shared" si="2"/>
        <v>7813147.443</v>
      </c>
      <c r="X42" s="8">
        <f t="shared" si="2"/>
        <v>29</v>
      </c>
      <c r="Y42" s="9"/>
      <c r="Z42">
        <f t="shared" si="2"/>
        <v>2048</v>
      </c>
      <c r="AA42">
        <f t="shared" si="2"/>
        <v>10.41</v>
      </c>
      <c r="AB42" s="2">
        <f t="shared" si="2"/>
        <v>0.88190000000000002</v>
      </c>
      <c r="AC42" s="2">
        <f t="shared" si="2"/>
        <v>1.24E-2</v>
      </c>
      <c r="AD42" s="2">
        <f t="shared" si="2"/>
        <v>0.1057</v>
      </c>
      <c r="AE42">
        <f t="shared" si="2"/>
        <v>7999815.2199999997</v>
      </c>
      <c r="AF42" s="8">
        <f t="shared" si="2"/>
        <v>30</v>
      </c>
      <c r="AG42" s="9"/>
      <c r="AH42">
        <f t="shared" si="2"/>
        <v>2048</v>
      </c>
      <c r="AI42">
        <f t="shared" si="2"/>
        <v>10.54</v>
      </c>
      <c r="AJ42" s="2">
        <f t="shared" si="2"/>
        <v>0.88180000000000003</v>
      </c>
      <c r="AK42" s="2">
        <f t="shared" si="2"/>
        <v>1.3599999999999999E-2</v>
      </c>
      <c r="AL42" s="2">
        <f t="shared" si="2"/>
        <v>0.1046</v>
      </c>
      <c r="AM42">
        <f t="shared" si="2"/>
        <v>7888425.7800000003</v>
      </c>
      <c r="AN42" s="8">
        <f t="shared" si="2"/>
        <v>39</v>
      </c>
    </row>
    <row r="43" spans="1:41" x14ac:dyDescent="0.2">
      <c r="A43" s="9"/>
      <c r="B43">
        <f>IF(ABS(B33-B$36) &lt;= 3*B$37,B33,"")</f>
        <v>2048</v>
      </c>
      <c r="C43">
        <f t="shared" ref="C43:AN43" si="4">IF(ABS(C33-C$36) &lt;= 3*C$37,C33,"")</f>
        <v>10.37</v>
      </c>
      <c r="D43" s="2">
        <f t="shared" si="4"/>
        <v>0.88349999999999995</v>
      </c>
      <c r="E43" s="2">
        <f t="shared" si="4"/>
        <v>1.12E-2</v>
      </c>
      <c r="F43" s="2">
        <f t="shared" si="4"/>
        <v>0.1053</v>
      </c>
      <c r="G43">
        <f t="shared" si="4"/>
        <v>8029166.9050000003</v>
      </c>
      <c r="H43" s="8">
        <f t="shared" si="4"/>
        <v>25</v>
      </c>
      <c r="I43" s="9"/>
      <c r="J43">
        <f t="shared" si="4"/>
        <v>2048</v>
      </c>
      <c r="K43">
        <f t="shared" si="4"/>
        <v>10.34</v>
      </c>
      <c r="L43" s="2">
        <f t="shared" si="4"/>
        <v>0.88039999999999996</v>
      </c>
      <c r="M43" s="2">
        <f t="shared" si="4"/>
        <v>1.3599999999999999E-2</v>
      </c>
      <c r="N43" s="2">
        <f t="shared" si="4"/>
        <v>0.106</v>
      </c>
      <c r="O43">
        <f t="shared" si="4"/>
        <v>8057894.9979999997</v>
      </c>
      <c r="P43" s="8">
        <f t="shared" si="4"/>
        <v>33</v>
      </c>
      <c r="Q43" s="9"/>
      <c r="R43">
        <f t="shared" si="4"/>
        <v>2048</v>
      </c>
      <c r="S43">
        <f t="shared" si="4"/>
        <v>10.56</v>
      </c>
      <c r="T43" s="2">
        <f t="shared" si="4"/>
        <v>0.88329999999999997</v>
      </c>
      <c r="U43" s="2">
        <f t="shared" si="4"/>
        <v>1.14E-2</v>
      </c>
      <c r="V43" s="2">
        <f t="shared" si="4"/>
        <v>0.1053</v>
      </c>
      <c r="W43">
        <f t="shared" si="4"/>
        <v>7884122.835</v>
      </c>
      <c r="X43" s="8">
        <f t="shared" si="4"/>
        <v>37</v>
      </c>
      <c r="Y43" s="9"/>
      <c r="Z43">
        <f t="shared" si="4"/>
        <v>2048</v>
      </c>
      <c r="AA43">
        <f t="shared" si="4"/>
        <v>10.45</v>
      </c>
      <c r="AB43" s="2">
        <f t="shared" si="4"/>
        <v>0.88329999999999997</v>
      </c>
      <c r="AC43" s="2">
        <f t="shared" si="4"/>
        <v>1.15E-2</v>
      </c>
      <c r="AD43" s="2">
        <f t="shared" si="4"/>
        <v>0.1052</v>
      </c>
      <c r="AE43">
        <f t="shared" si="4"/>
        <v>7966921.7520000003</v>
      </c>
      <c r="AF43" s="8">
        <f t="shared" si="4"/>
        <v>25</v>
      </c>
      <c r="AG43" s="9"/>
      <c r="AH43">
        <f t="shared" si="4"/>
        <v>2048</v>
      </c>
      <c r="AI43">
        <f t="shared" si="4"/>
        <v>10.55</v>
      </c>
      <c r="AJ43" s="2">
        <f t="shared" si="4"/>
        <v>0.88229999999999997</v>
      </c>
      <c r="AK43" s="2">
        <f t="shared" si="4"/>
        <v>1.24E-2</v>
      </c>
      <c r="AL43" s="2">
        <f t="shared" si="4"/>
        <v>0.1053</v>
      </c>
      <c r="AM43">
        <f t="shared" si="4"/>
        <v>7889839.125</v>
      </c>
      <c r="AN43" s="8">
        <f t="shared" si="4"/>
        <v>28</v>
      </c>
    </row>
    <row r="44" spans="1:41" x14ac:dyDescent="0.2">
      <c r="A44" s="9"/>
      <c r="B44">
        <f t="shared" si="3"/>
        <v>2048</v>
      </c>
      <c r="C44">
        <f t="shared" si="2"/>
        <v>10.44</v>
      </c>
      <c r="D44" s="2">
        <f t="shared" si="2"/>
        <v>0.88270000000000004</v>
      </c>
      <c r="E44" s="2">
        <f t="shared" si="2"/>
        <v>1.1599999999999999E-2</v>
      </c>
      <c r="F44" s="2">
        <f t="shared" si="2"/>
        <v>0.1057</v>
      </c>
      <c r="G44">
        <f t="shared" si="2"/>
        <v>7974250.3310000002</v>
      </c>
      <c r="H44" s="8">
        <f t="shared" si="2"/>
        <v>28</v>
      </c>
      <c r="I44" s="9"/>
      <c r="J44">
        <f t="shared" si="2"/>
        <v>2048</v>
      </c>
      <c r="K44">
        <f t="shared" si="2"/>
        <v>10.61</v>
      </c>
      <c r="L44" s="2">
        <f t="shared" si="2"/>
        <v>0.88280000000000003</v>
      </c>
      <c r="M44" s="2">
        <f t="shared" si="2"/>
        <v>1.23E-2</v>
      </c>
      <c r="N44" s="2">
        <f t="shared" si="2"/>
        <v>0.10489999999999999</v>
      </c>
      <c r="O44">
        <f t="shared" si="2"/>
        <v>7842523.6849999996</v>
      </c>
      <c r="P44" s="8">
        <f t="shared" si="2"/>
        <v>29</v>
      </c>
      <c r="Q44" s="9"/>
      <c r="R44">
        <f t="shared" si="2"/>
        <v>2048</v>
      </c>
      <c r="S44">
        <f t="shared" si="2"/>
        <v>10.35</v>
      </c>
      <c r="T44" s="2">
        <f t="shared" si="2"/>
        <v>0.88070000000000004</v>
      </c>
      <c r="U44" s="2">
        <f t="shared" si="2"/>
        <v>1.17E-2</v>
      </c>
      <c r="V44" s="2">
        <f t="shared" si="2"/>
        <v>0.1076</v>
      </c>
      <c r="W44">
        <f t="shared" si="2"/>
        <v>8061858.1950000003</v>
      </c>
      <c r="X44" s="8">
        <f t="shared" si="2"/>
        <v>30</v>
      </c>
      <c r="Y44" s="9"/>
      <c r="Z44">
        <f t="shared" si="2"/>
        <v>2048</v>
      </c>
      <c r="AA44">
        <f t="shared" si="2"/>
        <v>10.74</v>
      </c>
      <c r="AB44" s="2">
        <f t="shared" si="2"/>
        <v>0.88180000000000003</v>
      </c>
      <c r="AC44" s="2">
        <f t="shared" si="2"/>
        <v>1.38E-2</v>
      </c>
      <c r="AD44" s="2">
        <f t="shared" si="2"/>
        <v>0.10440000000000001</v>
      </c>
      <c r="AE44">
        <f t="shared" si="2"/>
        <v>7740575.4309999999</v>
      </c>
      <c r="AF44" s="8">
        <f t="shared" si="2"/>
        <v>40</v>
      </c>
      <c r="AG44" s="9"/>
      <c r="AH44">
        <f t="shared" si="2"/>
        <v>2048</v>
      </c>
      <c r="AI44">
        <f t="shared" si="2"/>
        <v>10.7</v>
      </c>
      <c r="AJ44" s="2">
        <f t="shared" si="2"/>
        <v>0.88100000000000001</v>
      </c>
      <c r="AK44" s="2">
        <f t="shared" si="2"/>
        <v>1.41E-2</v>
      </c>
      <c r="AL44" s="2">
        <f t="shared" si="2"/>
        <v>0.105</v>
      </c>
      <c r="AM44">
        <f t="shared" si="2"/>
        <v>7775698.9979999997</v>
      </c>
      <c r="AN44" s="8">
        <f t="shared" si="2"/>
        <v>40</v>
      </c>
    </row>
    <row r="45" spans="1:41" ht="17" thickBot="1" x14ac:dyDescent="0.25">
      <c r="A45" s="10"/>
      <c r="B45" s="11">
        <f t="shared" si="3"/>
        <v>2048</v>
      </c>
      <c r="C45" s="11">
        <f t="shared" si="2"/>
        <v>10.62</v>
      </c>
      <c r="D45" s="12">
        <f t="shared" si="2"/>
        <v>0.88270000000000004</v>
      </c>
      <c r="E45" s="12">
        <f t="shared" si="2"/>
        <v>1.1599999999999999E-2</v>
      </c>
      <c r="F45" s="12">
        <f t="shared" si="2"/>
        <v>0.1056</v>
      </c>
      <c r="G45" s="11">
        <f t="shared" si="2"/>
        <v>7842853.2560000001</v>
      </c>
      <c r="H45" s="13">
        <f t="shared" si="2"/>
        <v>26</v>
      </c>
      <c r="I45" s="10"/>
      <c r="J45" s="11">
        <f t="shared" si="2"/>
        <v>2048</v>
      </c>
      <c r="K45" s="11">
        <f t="shared" si="2"/>
        <v>10.51</v>
      </c>
      <c r="L45" s="12">
        <f t="shared" si="2"/>
        <v>0.88190000000000002</v>
      </c>
      <c r="M45" s="12">
        <f t="shared" si="2"/>
        <v>1.2E-2</v>
      </c>
      <c r="N45" s="12">
        <f t="shared" si="2"/>
        <v>0.1061</v>
      </c>
      <c r="O45" s="11">
        <f t="shared" si="2"/>
        <v>7926116.7139999997</v>
      </c>
      <c r="P45" s="13">
        <f t="shared" si="2"/>
        <v>36</v>
      </c>
      <c r="Q45" s="10"/>
      <c r="R45" s="11">
        <f t="shared" si="2"/>
        <v>2048</v>
      </c>
      <c r="S45" s="11">
        <f t="shared" si="2"/>
        <v>10.55</v>
      </c>
      <c r="T45" s="12">
        <f t="shared" si="2"/>
        <v>0.88349999999999995</v>
      </c>
      <c r="U45" s="12">
        <f t="shared" si="2"/>
        <v>1.0999999999999999E-2</v>
      </c>
      <c r="V45" s="12">
        <f t="shared" si="2"/>
        <v>0.1055</v>
      </c>
      <c r="W45" s="11">
        <f t="shared" si="2"/>
        <v>7893508.9979999997</v>
      </c>
      <c r="X45" s="13">
        <f t="shared" si="2"/>
        <v>32</v>
      </c>
      <c r="Y45" s="10"/>
      <c r="Z45" s="11">
        <f t="shared" si="2"/>
        <v>2048</v>
      </c>
      <c r="AA45" s="11">
        <f t="shared" si="2"/>
        <v>10.51</v>
      </c>
      <c r="AB45" s="12">
        <f t="shared" si="2"/>
        <v>0.88160000000000005</v>
      </c>
      <c r="AC45" s="12">
        <f t="shared" si="2"/>
        <v>1.26E-2</v>
      </c>
      <c r="AD45" s="12">
        <f t="shared" si="2"/>
        <v>0.10580000000000001</v>
      </c>
      <c r="AE45" s="11">
        <f t="shared" si="2"/>
        <v>7925257.9620000003</v>
      </c>
      <c r="AF45" s="13">
        <f t="shared" si="2"/>
        <v>31</v>
      </c>
      <c r="AG45" s="10"/>
      <c r="AH45" s="11">
        <f t="shared" si="2"/>
        <v>2048</v>
      </c>
      <c r="AI45" s="11">
        <f t="shared" si="2"/>
        <v>10.75</v>
      </c>
      <c r="AJ45" s="12">
        <f t="shared" si="2"/>
        <v>0.88239999999999996</v>
      </c>
      <c r="AK45" s="12">
        <f t="shared" si="2"/>
        <v>1.2E-2</v>
      </c>
      <c r="AL45" s="12">
        <f t="shared" si="2"/>
        <v>0.1056</v>
      </c>
      <c r="AM45" s="11">
        <f t="shared" si="2"/>
        <v>7743509.3949999996</v>
      </c>
      <c r="AN45" s="13">
        <f t="shared" si="2"/>
        <v>32</v>
      </c>
    </row>
    <row r="50" spans="34:34" x14ac:dyDescent="0.2">
      <c r="AH5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00_default</vt:lpstr>
      <vt:lpstr>01_nice</vt:lpstr>
      <vt:lpstr>02_cpu_affinity</vt:lpstr>
      <vt:lpstr>05_sched_policy</vt:lpstr>
      <vt:lpstr>06_sched_tuning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Клопов Григорий Юрьевич</dc:creator>
  <cp:lastModifiedBy>Клопов Григорий Юрьевич</cp:lastModifiedBy>
  <dcterms:created xsi:type="dcterms:W3CDTF">2026-10-06T11:58:46Z</dcterms:created>
  <dcterms:modified xsi:type="dcterms:W3CDTF">2026-10-07T17:58:53Z</dcterms:modified>
</cp:coreProperties>
</file>